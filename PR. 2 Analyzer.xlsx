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Admin\Downloads\"/>
    </mc:Choice>
  </mc:AlternateContent>
  <xr:revisionPtr revIDLastSave="0" documentId="13_ncr:1_{5C3255CC-50F4-4AB1-86E9-189BCBB30006}" xr6:coauthVersionLast="47" xr6:coauthVersionMax="47" xr10:uidLastSave="{00000000-0000-0000-0000-000000000000}"/>
  <bookViews>
    <workbookView xWindow="-108" yWindow="-108" windowWidth="23256" windowHeight="12576" activeTab="1" xr2:uid="{00000000-000D-0000-FFFF-FFFF00000000}"/>
  </bookViews>
  <sheets>
    <sheet name="Project Instructions" sheetId="1" r:id="rId1"/>
    <sheet name="Dataset" sheetId="2" r:id="rId2"/>
    <sheet name="Dashboard" sheetId="12" r:id="rId3"/>
    <sheet name="pivote table" sheetId="4" r:id="rId4"/>
    <sheet name="product vs sales" sheetId="6" r:id="rId5"/>
    <sheet name="Monthly" sheetId="10" r:id="rId6"/>
    <sheet name="region" sheetId="11" r:id="rId7"/>
  </sheets>
  <calcPr calcId="191029"/>
  <pivotCaches>
    <pivotCache cacheId="0" r:id="rId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C2" i="2" l="1" a="1"/>
  <c r="BC2" i="2" s="1"/>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 i="2"/>
  <c r="AZ2" i="2"/>
  <c r="AY2" i="2"/>
  <c r="AW29" i="2"/>
  <c r="AW30" i="2"/>
  <c r="AW31" i="2"/>
  <c r="AW32" i="2"/>
  <c r="AW33" i="2"/>
  <c r="AW34" i="2"/>
  <c r="AW35" i="2"/>
  <c r="AW36" i="2"/>
  <c r="AW37" i="2"/>
  <c r="AW38" i="2"/>
  <c r="AW39" i="2"/>
  <c r="AW40" i="2"/>
  <c r="AW41" i="2"/>
  <c r="AW42" i="2"/>
  <c r="AW43" i="2"/>
  <c r="AW44" i="2"/>
  <c r="AW45" i="2"/>
  <c r="AW46" i="2"/>
  <c r="AW47" i="2"/>
  <c r="AW48" i="2"/>
  <c r="AW49" i="2"/>
  <c r="AW50" i="2"/>
  <c r="AW51" i="2"/>
  <c r="AW52" i="2"/>
  <c r="AW53" i="2"/>
  <c r="AW54" i="2"/>
  <c r="AW55" i="2"/>
  <c r="AW56" i="2"/>
  <c r="AW57" i="2"/>
  <c r="AW58" i="2"/>
  <c r="AW59" i="2"/>
  <c r="AW60" i="2"/>
  <c r="AW61" i="2"/>
  <c r="AW62" i="2"/>
  <c r="AW63" i="2"/>
  <c r="AW64" i="2"/>
  <c r="AW65" i="2"/>
  <c r="AW66" i="2"/>
  <c r="AW67" i="2"/>
  <c r="AW68" i="2"/>
  <c r="AW69" i="2"/>
  <c r="AW70" i="2"/>
  <c r="AW71" i="2"/>
  <c r="AW72" i="2"/>
  <c r="AW73" i="2"/>
  <c r="AW74" i="2"/>
  <c r="AW75" i="2"/>
  <c r="AW76" i="2"/>
  <c r="AW77" i="2"/>
  <c r="AW78" i="2"/>
  <c r="AW79" i="2"/>
  <c r="AW80" i="2"/>
  <c r="AW81" i="2"/>
  <c r="AW82" i="2"/>
  <c r="AW83" i="2"/>
  <c r="AW84" i="2"/>
  <c r="AW85" i="2"/>
  <c r="AW86" i="2"/>
  <c r="AW87" i="2"/>
  <c r="AW88" i="2"/>
  <c r="AW89" i="2"/>
  <c r="AW90" i="2"/>
  <c r="AW91" i="2"/>
  <c r="AW92" i="2"/>
  <c r="AW93" i="2"/>
  <c r="AW94" i="2"/>
  <c r="AW95" i="2"/>
  <c r="AW96" i="2"/>
  <c r="AW97" i="2"/>
  <c r="AW98" i="2"/>
  <c r="AW99" i="2"/>
  <c r="AW100" i="2"/>
  <c r="AW101" i="2"/>
  <c r="AW102" i="2"/>
  <c r="AW103" i="2"/>
  <c r="AW104" i="2"/>
  <c r="AW105" i="2"/>
  <c r="AW106" i="2"/>
  <c r="AW107" i="2"/>
  <c r="AW108" i="2"/>
  <c r="AW109" i="2"/>
  <c r="AW110" i="2"/>
  <c r="AW111" i="2"/>
  <c r="AW112" i="2"/>
  <c r="AW113" i="2"/>
  <c r="AW114" i="2"/>
  <c r="AW115" i="2"/>
  <c r="AW116" i="2"/>
  <c r="AW117" i="2"/>
  <c r="AW118" i="2"/>
  <c r="AW119" i="2"/>
  <c r="AW120" i="2"/>
  <c r="AW121" i="2"/>
  <c r="AW122" i="2"/>
  <c r="AW123" i="2"/>
  <c r="AW124" i="2"/>
  <c r="AW125" i="2"/>
  <c r="AW126" i="2"/>
  <c r="AW127" i="2"/>
  <c r="AW128" i="2"/>
  <c r="AW129" i="2"/>
  <c r="AW130" i="2"/>
  <c r="AW131" i="2"/>
  <c r="AW132" i="2"/>
  <c r="AW133" i="2"/>
  <c r="AW134" i="2"/>
  <c r="AW135" i="2"/>
  <c r="AW136" i="2"/>
  <c r="AW137" i="2"/>
  <c r="AW138" i="2"/>
  <c r="AW139" i="2"/>
  <c r="AW140" i="2"/>
  <c r="AW141" i="2"/>
  <c r="AW142" i="2"/>
  <c r="AW143" i="2"/>
  <c r="AW144" i="2"/>
  <c r="AW145" i="2"/>
  <c r="AW146" i="2"/>
  <c r="AW147" i="2"/>
  <c r="AW148" i="2"/>
  <c r="AW149" i="2"/>
  <c r="AW150" i="2"/>
  <c r="AW151" i="2"/>
  <c r="AW152" i="2"/>
  <c r="AW153" i="2"/>
  <c r="AW154" i="2"/>
  <c r="AW155" i="2"/>
  <c r="AW156" i="2"/>
  <c r="AW157" i="2"/>
  <c r="AW158" i="2"/>
  <c r="AW159" i="2"/>
  <c r="AW160" i="2"/>
  <c r="AW161" i="2"/>
  <c r="AW162" i="2"/>
  <c r="AW163" i="2"/>
  <c r="AW164" i="2"/>
  <c r="AW165" i="2"/>
  <c r="AW166" i="2"/>
  <c r="AW167" i="2"/>
  <c r="AW168" i="2"/>
  <c r="AW169" i="2"/>
  <c r="AW170" i="2"/>
  <c r="AW171" i="2"/>
  <c r="AW172" i="2"/>
  <c r="AW173" i="2"/>
  <c r="AW174" i="2"/>
  <c r="AW175" i="2"/>
  <c r="AW176" i="2"/>
  <c r="AW177" i="2"/>
  <c r="AW178" i="2"/>
  <c r="AW179" i="2"/>
  <c r="AW180" i="2"/>
  <c r="AW181" i="2"/>
  <c r="AW182" i="2"/>
  <c r="AW183" i="2"/>
  <c r="AW184" i="2"/>
  <c r="AW185" i="2"/>
  <c r="AW186" i="2"/>
  <c r="AW187" i="2"/>
  <c r="AW188" i="2"/>
  <c r="AW189" i="2"/>
  <c r="AW190" i="2"/>
  <c r="AW191" i="2"/>
  <c r="AW192" i="2"/>
  <c r="AW193" i="2"/>
  <c r="AW194" i="2"/>
  <c r="AW195" i="2"/>
  <c r="AW196" i="2"/>
  <c r="AW197" i="2"/>
  <c r="AW198" i="2"/>
  <c r="AW199" i="2"/>
  <c r="AW200" i="2"/>
  <c r="AW201" i="2"/>
  <c r="AW3" i="2"/>
  <c r="AW4" i="2"/>
  <c r="AW5" i="2"/>
  <c r="AW6" i="2"/>
  <c r="AW7" i="2"/>
  <c r="AW8" i="2"/>
  <c r="AW9" i="2"/>
  <c r="AW10" i="2"/>
  <c r="AW11" i="2"/>
  <c r="AW12" i="2"/>
  <c r="AW13" i="2"/>
  <c r="AW14" i="2"/>
  <c r="AW15" i="2"/>
  <c r="AW16" i="2"/>
  <c r="AW17" i="2"/>
  <c r="AW18" i="2"/>
  <c r="AW19" i="2"/>
  <c r="AW20" i="2"/>
  <c r="AW21" i="2"/>
  <c r="AW22" i="2"/>
  <c r="AW23" i="2"/>
  <c r="AW24" i="2"/>
  <c r="AW25" i="2"/>
  <c r="AW26" i="2"/>
  <c r="AW27" i="2"/>
  <c r="AW28" i="2"/>
  <c r="AW2" i="2"/>
  <c r="Q3" i="2" l="1"/>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 i="2"/>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<sst xmlns="http://schemas.openxmlformats.org/spreadsheetml/2006/main" count="1418" uniqueCount="135">
  <si>
    <t>PR. 2 Analyzer</t>
  </si>
  <si>
    <r>
      <rPr>
        <b/>
        <sz val="11"/>
        <color theme="1"/>
        <rFont val="Calibri"/>
      </rPr>
      <t xml:space="preserve">Topics:
</t>
    </r>
    <r>
      <rPr>
        <sz val="11"/>
        <color theme="1"/>
        <rFont val="Calibri"/>
      </rPr>
      <t xml:space="preserve">- Conditional Formatting
 - WHAT IF Analysis
 - Linear Regression (Using Data Analysis Toolpak)
 - Data Analysis Feature (Descriptive Stats, Regression, Histogram)
 - Data Storytelling
 - Add Symbols or Arrows in Custom Formatting
 - Create Timestamp
 - Find High-Value Customers using Groupby(), index(), and match() combination
 - Advanced Descriptive Analytics
 - Pivot Table with Dashboard
 - Creating bar charts
 - Creating line charts
 - Creating pie charts
</t>
    </r>
    <r>
      <rPr>
        <b/>
        <sz val="11"/>
        <color rgb="FF38761D"/>
        <rFont val="Calibri"/>
      </rPr>
      <t>Main Tasks:</t>
    </r>
    <r>
      <rPr>
        <sz val="11"/>
        <color rgb="FF38761D"/>
        <rFont val="Calibri"/>
      </rPr>
      <t xml:space="preserve">
1. Apply conditional formatting to highlight top 10 customers based on total purchase.
2. Perform WHAT IF Analysis to see impact of changing discount on total profit.
3. Use Data Analysis Toolpak to run Linear Regression (Profit vs Sales).
4. Use 'Descriptive Statistics' from Analysis Toolpak on the dataset.
5. Add up/down arrows on monthly sales growth.
6. Create a timestamp column using NOW().
7. Identify high-value customers using index(), match(), and filters.
8. Create Pivot Table to analyze total sales by region and product.
9. Create bar, line, and pie charts to visualize KPIs.
10. Summarize insights using a dashboard.</t>
    </r>
    <r>
      <rPr>
        <sz val="11"/>
        <color theme="1"/>
        <rFont val="Calibri"/>
      </rPr>
      <t xml:space="preserve">
</t>
    </r>
    <r>
      <rPr>
        <b/>
        <sz val="11"/>
        <color theme="1"/>
        <rFont val="Calibri"/>
      </rPr>
      <t xml:space="preserve">Deliverable:
</t>
    </r>
    <r>
      <rPr>
        <sz val="11"/>
        <color theme="1"/>
        <rFont val="Calibri"/>
      </rPr>
      <t>Complete the given worksheet by applying the required formulas in respective sheets.</t>
    </r>
  </si>
  <si>
    <t>Customer_ID</t>
  </si>
  <si>
    <t>Customer_Name</t>
  </si>
  <si>
    <t>Region</t>
  </si>
  <si>
    <t>Product_Category</t>
  </si>
  <si>
    <t>Sales</t>
  </si>
  <si>
    <t>Quantity</t>
  </si>
  <si>
    <t>Discount</t>
  </si>
  <si>
    <t>Order_Date</t>
  </si>
  <si>
    <t>Profit</t>
  </si>
  <si>
    <t>CUST019</t>
  </si>
  <si>
    <t>James Davis</t>
  </si>
  <si>
    <t>West</t>
  </si>
  <si>
    <t>Books</t>
  </si>
  <si>
    <t>CUST012</t>
  </si>
  <si>
    <t>Robert Anderson</t>
  </si>
  <si>
    <t>Clothing</t>
  </si>
  <si>
    <t>CUST017</t>
  </si>
  <si>
    <t>James Taylor</t>
  </si>
  <si>
    <t>East</t>
  </si>
  <si>
    <t>CUST005</t>
  </si>
  <si>
    <t>South</t>
  </si>
  <si>
    <t>Electronics</t>
  </si>
  <si>
    <t>CUST030</t>
  </si>
  <si>
    <t>James Wilson</t>
  </si>
  <si>
    <t>North</t>
  </si>
  <si>
    <t>CUST007</t>
  </si>
  <si>
    <t>Michael Anderson</t>
  </si>
  <si>
    <t>Furniture</t>
  </si>
  <si>
    <t>CUST001</t>
  </si>
  <si>
    <t>Linda Wilson</t>
  </si>
  <si>
    <t>CUST026</t>
  </si>
  <si>
    <t>Mary Davis</t>
  </si>
  <si>
    <t>CUST009</t>
  </si>
  <si>
    <t>Linda Jackson</t>
  </si>
  <si>
    <t>Central</t>
  </si>
  <si>
    <t>CUST010</t>
  </si>
  <si>
    <t>David Thomas</t>
  </si>
  <si>
    <t>CUST014</t>
  </si>
  <si>
    <t>Emma Davis</t>
  </si>
  <si>
    <t>Office Supplies</t>
  </si>
  <si>
    <t>CUST023</t>
  </si>
  <si>
    <t>CUST029</t>
  </si>
  <si>
    <t>David Smith</t>
  </si>
  <si>
    <t>Sarah Anderson</t>
  </si>
  <si>
    <t>CUST008</t>
  </si>
  <si>
    <t>Lisa Thomas</t>
  </si>
  <si>
    <t>CUST006</t>
  </si>
  <si>
    <t>Mary Jackson</t>
  </si>
  <si>
    <t>Lisa Davis</t>
  </si>
  <si>
    <t>CUST022</t>
  </si>
  <si>
    <t>Linda Brown</t>
  </si>
  <si>
    <t>John Brown</t>
  </si>
  <si>
    <t>CUST028</t>
  </si>
  <si>
    <t>Linda Taylor</t>
  </si>
  <si>
    <t>CUST025</t>
  </si>
  <si>
    <t>David Brown</t>
  </si>
  <si>
    <t>David Davis</t>
  </si>
  <si>
    <t>CUST021</t>
  </si>
  <si>
    <t>CUST015</t>
  </si>
  <si>
    <t>Mary Wilson</t>
  </si>
  <si>
    <t>CUST016</t>
  </si>
  <si>
    <t>Emma Wilson</t>
  </si>
  <si>
    <t>Linda Davis</t>
  </si>
  <si>
    <t>CUST011</t>
  </si>
  <si>
    <t>Sarah Davis</t>
  </si>
  <si>
    <t>CUST002</t>
  </si>
  <si>
    <t>Emma Taylor</t>
  </si>
  <si>
    <t>CUST003</t>
  </si>
  <si>
    <t>CUST020</t>
  </si>
  <si>
    <t>Linda Moore</t>
  </si>
  <si>
    <t>CUST024</t>
  </si>
  <si>
    <t>David Anderson</t>
  </si>
  <si>
    <t>CUST004</t>
  </si>
  <si>
    <t>CUST013</t>
  </si>
  <si>
    <t>CUST027</t>
  </si>
  <si>
    <t>CUST018</t>
  </si>
  <si>
    <t>Conditional formating</t>
  </si>
  <si>
    <t>What if analysis</t>
  </si>
  <si>
    <t>liner regration</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</si>
  <si>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</si>
  <si>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</si>
  <si>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</si>
  <si>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</si>
  <si>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</si>
  <si>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</si>
  <si>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</si>
  <si>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</si>
  <si>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</si>
  <si>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</si>
  <si>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</si>
  <si>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</si>
  <si>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</si>
  <si>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</si>
  <si>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</si>
  <si>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</si>
  <si>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</si>
  <si>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</si>
  <si>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</si>
  <si>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</si>
  <si>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</si>
  <si>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</si>
  <si>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</si>
  <si>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</si>
  <si>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X Variable 1</t>
  </si>
  <si>
    <t>Row1</t>
  </si>
  <si>
    <t>Row2</t>
  </si>
  <si>
    <t>Row3</t>
  </si>
  <si>
    <t>Row4</t>
  </si>
  <si>
    <t>Row5</t>
  </si>
  <si>
    <t>Row6</t>
  </si>
  <si>
    <t>Row7</t>
  </si>
  <si>
    <t>Row8</t>
  </si>
  <si>
    <t>Row9</t>
  </si>
  <si>
    <t>Mean</t>
  </si>
  <si>
    <t>Median</t>
  </si>
  <si>
    <t>Mode</t>
  </si>
  <si>
    <t>Standard Deviation</t>
  </si>
  <si>
    <t>Sample Variance</t>
  </si>
  <si>
    <t>Kurtosis</t>
  </si>
  <si>
    <t>Skewness</t>
  </si>
  <si>
    <t>Range</t>
  </si>
  <si>
    <t>Minimum</t>
  </si>
  <si>
    <t>Maximum</t>
  </si>
  <si>
    <t>Sum</t>
  </si>
  <si>
    <t>Count</t>
  </si>
  <si>
    <t xml:space="preserve"> sales growth</t>
  </si>
  <si>
    <t>Timestamp</t>
  </si>
  <si>
    <t>(blank)</t>
  </si>
  <si>
    <t>Grand Total</t>
  </si>
  <si>
    <t>Sum of Sales</t>
  </si>
  <si>
    <t>High value with filter</t>
  </si>
  <si>
    <t>Month</t>
  </si>
  <si>
    <t>Sum of 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</si>
</sst>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
    <numFmt numFmtId="165" formatCode="#\ \⬆;\ \-#\ \⬇"/>
  </numFmts>
  <fonts count="11" x14ac:knownFonts="1">
    <font>
      <sz val="11"/>
      <color theme="1"/>
      <name val="Calibri"/>
      <scheme val="minor"/>
    </font>
    <font>
      <sz val="11"/>
      <color theme="1"/>
      <name val="Calibri"/>
      <family val="2"/>
      <scheme val="minor"/>
    </font>
    <font>
      <sz val="11"/>
      <color theme="1"/>
      <name val="Calibri"/>
      <family val="2"/>
      <scheme val="minor"/>
    </font>
    <font>
      <b/>
      <sz val="11"/>
      <color theme="1"/>
      <name val="Calibri"/>
    </font>
    <font>
      <sz val="11"/>
      <color theme="1"/>
      <name val="Calibri"/>
    </font>
    <font>
      <b/>
      <sz val="11"/>
      <color theme="1"/>
      <name val="Calibri"/>
      <scheme val="minor"/>
    </font>
    <font>
      <sz val="11"/>
      <color theme="1"/>
      <name val="Calibri"/>
      <scheme val="minor"/>
    </font>
    <font>
      <b/>
      <sz val="11"/>
      <color rgb="FF38761D"/>
      <name val="Calibri"/>
    </font>
    <font>
      <sz val="11"/>
      <color rgb="FF38761D"/>
      <name val="Calibri"/>
    </font>
    <font>
      <i/>
      <sz val="11"/>
      <color theme="1"/>
      <name val="Calibri"/>
      <family val="2"/>
      <scheme val="minor"/>
    </font>
    <font>
      <sz val="8"/>
      <name val="Calibri"/>
      <family val="2"/>
      <scheme val="minor"/>
    </font>
  </fonts>
  <fills count="7">
    <fill>
      <patternFill patternType="none"/>
    </fill>
    <fill>
      <patternFill patternType="gray125"/>
    </fill>
    <fill>
      <patternFill patternType="solid">
        <fgColor rgb="FFFFF2CC"/>
        <bgColor rgb="FFFFF2CC"/>
      </patternFill>
    </fill>
    <fill>
      <patternFill patternType="solid">
        <fgColor theme="8" tint="0.39997558519241921"/>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theme="8" tint="-0.249977111117893"/>
        <bgColor indexed="64"/>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42">
    <xf numFmtId="0" fontId="0" fillId="0" borderId="0" xfId="0" applyFont="1" applyAlignment="1"/>
    <xf numFmtId="0" fontId="3" fillId="2" borderId="1" xfId="0" applyFont="1" applyFill="1" applyBorder="1" applyAlignment="1">
      <alignment horizontal="center"/>
    </xf>
    <xf numFmtId="0" fontId="4" fillId="0" borderId="0" xfId="0" applyFont="1"/>
    <xf numFmtId="0" fontId="4" fillId="0" borderId="1" xfId="0" applyFont="1" applyBorder="1" applyAlignment="1"/>
    <xf numFmtId="0" fontId="5" fillId="0" borderId="0" xfId="0" applyFont="1" applyAlignment="1"/>
    <xf numFmtId="0" fontId="5" fillId="0" borderId="0" xfId="0" applyFont="1"/>
    <xf numFmtId="0" fontId="6" fillId="0" borderId="0" xfId="0" applyFont="1" applyAlignment="1"/>
    <xf numFmtId="10" fontId="5" fillId="0" borderId="0" xfId="0" applyNumberFormat="1" applyFont="1"/>
    <xf numFmtId="10" fontId="0" fillId="0" borderId="0" xfId="0" applyNumberFormat="1" applyFont="1" applyAlignment="1"/>
    <xf numFmtId="2" fontId="0" fillId="0" borderId="0" xfId="0" applyNumberFormat="1" applyFont="1" applyAlignment="1"/>
    <xf numFmtId="164" fontId="5" fillId="0" borderId="0" xfId="0" applyNumberFormat="1" applyFont="1"/>
    <xf numFmtId="164" fontId="0" fillId="0" borderId="0" xfId="0" applyNumberFormat="1" applyFont="1" applyAlignment="1"/>
    <xf numFmtId="164" fontId="5" fillId="0" borderId="0" xfId="0" applyNumberFormat="1" applyFont="1" applyAlignment="1"/>
    <xf numFmtId="164" fontId="6" fillId="0" borderId="0" xfId="0" applyNumberFormat="1" applyFont="1" applyAlignment="1"/>
    <xf numFmtId="0" fontId="0" fillId="0" borderId="2" xfId="0" applyFont="1" applyBorder="1" applyAlignment="1"/>
    <xf numFmtId="0" fontId="9" fillId="0" borderId="2" xfId="0" applyFont="1" applyFill="1" applyBorder="1" applyAlignment="1">
      <alignment horizontal="centerContinuous"/>
    </xf>
    <xf numFmtId="0" fontId="0" fillId="0" borderId="2" xfId="0" applyFill="1" applyBorder="1" applyAlignment="1"/>
    <xf numFmtId="0" fontId="9" fillId="0" borderId="2" xfId="0" applyFont="1" applyFill="1" applyBorder="1" applyAlignment="1">
      <alignment horizontal="center"/>
    </xf>
    <xf numFmtId="14" fontId="5" fillId="0" borderId="0" xfId="0" applyNumberFormat="1" applyFont="1" applyAlignment="1"/>
    <xf numFmtId="14" fontId="6" fillId="0" borderId="0" xfId="0" applyNumberFormat="1" applyFont="1" applyAlignment="1"/>
    <xf numFmtId="14" fontId="0" fillId="0" borderId="0" xfId="0" applyNumberFormat="1" applyFont="1" applyAlignment="1"/>
    <xf numFmtId="2" fontId="5" fillId="0" borderId="0" xfId="0" applyNumberFormat="1" applyFont="1" applyAlignment="1"/>
    <xf numFmtId="2" fontId="6" fillId="0" borderId="0" xfId="0" applyNumberFormat="1" applyFont="1" applyAlignment="1"/>
    <xf numFmtId="0" fontId="2" fillId="0" borderId="0" xfId="0" applyFont="1" applyAlignment="1"/>
    <xf numFmtId="0" fontId="0" fillId="0" borderId="0" xfId="0" applyFill="1" applyBorder="1" applyAlignment="1"/>
    <xf numFmtId="0" fontId="0" fillId="0" borderId="3" xfId="0" applyFill="1" applyBorder="1" applyAlignment="1"/>
    <xf numFmtId="0" fontId="9" fillId="0" borderId="4" xfId="0" applyFont="1" applyFill="1" applyBorder="1" applyAlignment="1">
      <alignment horizontal="center"/>
    </xf>
    <xf numFmtId="165" fontId="0" fillId="0" borderId="0" xfId="0" applyNumberFormat="1" applyFont="1" applyAlignment="1"/>
    <xf numFmtId="22" fontId="0" fillId="0" borderId="0" xfId="0" applyNumberFormat="1" applyFont="1" applyAlignment="1"/>
    <xf numFmtId="0" fontId="1" fillId="0" borderId="0" xfId="0" applyFont="1" applyAlignment="1"/>
    <xf numFmtId="0" fontId="0" fillId="0" borderId="0" xfId="0" pivotButton="1" applyFont="1" applyAlignment="1"/>
    <xf numFmtId="0" fontId="0" fillId="0" borderId="0" xfId="0" applyNumberFormat="1" applyFont="1" applyAlignment="1"/>
    <xf numFmtId="0" fontId="5" fillId="0" borderId="0" xfId="0" applyNumberFormat="1" applyFont="1" applyAlignment="1"/>
    <xf numFmtId="0" fontId="6" fillId="0" borderId="0" xfId="0" applyNumberFormat="1" applyFont="1" applyAlignment="1"/>
    <xf numFmtId="0" fontId="0" fillId="3" borderId="0" xfId="0" applyFont="1" applyFill="1" applyAlignment="1"/>
    <xf numFmtId="0" fontId="0" fillId="4" borderId="0" xfId="0" applyFont="1" applyFill="1" applyAlignment="1"/>
    <xf numFmtId="0" fontId="0" fillId="5" borderId="0" xfId="0" applyFont="1" applyFill="1" applyAlignment="1"/>
    <xf numFmtId="0" fontId="0" fillId="6" borderId="0" xfId="0" applyFont="1" applyFill="1" applyAlignment="1"/>
    <xf numFmtId="0" fontId="5" fillId="0" borderId="0" xfId="0" applyFont="1" applyAlignment="1">
      <alignment horizontal="center"/>
    </xf>
    <xf numFmtId="0" fontId="5" fillId="0" borderId="2" xfId="0" applyFont="1" applyBorder="1" applyAlignment="1">
      <alignment horizontal="center"/>
    </xf>
    <xf numFmtId="164" fontId="1" fillId="0" borderId="0" xfId="0" applyNumberFormat="1" applyFont="1" applyAlignment="1">
      <alignment horizontal="center"/>
    </xf>
    <xf numFmtId="0" fontId="1" fillId="0" borderId="0" xfId="0" applyFont="1" applyAlignment="1">
      <alignment horizontal="center"/>
    </xf>
  </cellXfs>
  <cellStyles count="1">
    <cellStyle name="Normal" xfId="0" builtinId="0"/>
  </cellStyles>
  <dxfs count="1">
    <dxf>
      <font>
        <color rgb="FF006100"/>
      </font>
      <fill>
        <patternFill>
          <bgColor rgb="FFC6EFCE"/>
        </patternFill>
      </fill>
    </dxf>
  </dxfs>
  <tableStyles count="0" defaultTableStyle="TableStyleMedium2" defaultPivotStyle="PivotStyleLight16"/>
  <colors>
    <mruColors>
      <color rgb="FF33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[PR. 2 Analyzer.xlsx]product vs sales!PivotTable2</c:name>
    <c:fmtId val="13"/>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IN"/>
              <a:t>Product Vs Sales</a:t>
            </a:r>
          </a:p>
          <a:p>
            <a:pPr>
              <a:defRPr/>
            </a:pPr>
            <a:endParaRPr lang="en-IN"/>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dk1">
                  <a:tint val="88500"/>
                </a:schemeClr>
              </a:gs>
              <a:gs pos="100000">
                <a:schemeClr val="dk1">
                  <a:tint val="88500"/>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dk1">
                  <a:tint val="88500"/>
                </a:schemeClr>
              </a:gs>
              <a:gs pos="100000">
                <a:schemeClr val="dk1">
                  <a:tint val="88500"/>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dk1">
                  <a:tint val="88500"/>
                </a:schemeClr>
              </a:gs>
              <a:gs pos="100000">
                <a:schemeClr val="dk1">
                  <a:tint val="88500"/>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4781945514567242E-2"/>
          <c:y val="0.25682730923694785"/>
          <c:w val="0.95934959349593496"/>
          <c:h val="0.65000695696170507"/>
        </c:manualLayout>
      </c:layout>
      <c:barChart>
        <c:barDir val="col"/>
        <c:grouping val="clustered"/>
        <c:varyColors val="0"/>
        <c:ser>
          <c:idx val="0"/>
          <c:order val="0"/>
          <c:tx>
            <c:strRef>
              <c:f>'product vs sales'!$B$3</c:f>
              <c:strCache>
                <c:ptCount val="1"/>
                <c:pt idx="0">
                  <c:v>Total</c:v>
                </c:pt>
              </c:strCache>
            </c:strRef>
          </c:tx>
          <c:spPr>
            <a:gradFill>
              <a:gsLst>
                <a:gs pos="0">
                  <a:schemeClr val="dk1">
                    <a:tint val="88500"/>
                  </a:schemeClr>
                </a:gs>
                <a:gs pos="100000">
                  <a:schemeClr val="dk1">
                    <a:tint val="88500"/>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'product vs sales'!$A$4:$A$10</c:f>
              <c:strCache>
                <c:ptCount val="6"/>
                <c:pt idx="0">
                  <c:v>Books</c:v>
                </c:pt>
                <c:pt idx="1">
                  <c:v>Clothing</c:v>
                </c:pt>
                <c:pt idx="2">
                  <c:v>Electronics</c:v>
                </c:pt>
                <c:pt idx="3">
                  <c:v>Furniture</c:v>
                </c:pt>
                <c:pt idx="4">
                  <c:v>Office Supplies</c:v>
                </c:pt>
                <c:pt idx="5">
                  <c:v>(blank)</c:v>
                </c:pt>
              </c:strCache>
            </c:strRef>
          </c:cat>
          <c:val>
            <c:numRef>
              <c:f>'product vs sales'!$B$4:$B$10</c:f>
              <c:numCache>
                <c:formatCode>General</c:formatCode>
                <c:ptCount val="6"/>
                <c:pt idx="0">
                  <c:v>47002.460000000006</c:v>
                </c:pt>
                <c:pt idx="1">
                  <c:v>41927.589999999989</c:v>
                </c:pt>
                <c:pt idx="2">
                  <c:v>41044.000000000007</c:v>
                </c:pt>
                <c:pt idx="3">
                  <c:v>36612.89</c:v>
                </c:pt>
                <c:pt idx="4">
                  <c:v>28630.819999999992</c:v>
                </c:pt>
              </c:numCache>
            </c:numRef>
          </c:val>
          <c:extLst>
            <c:ext xmlns:c16="http://schemas.microsoft.com/office/drawing/2014/chart" uri="{C3380CC4-5D6E-409C-BE32-E72D297353CC}">
              <c16:uniqueId val="{00000000-6B3B-402C-A6EC-2C5AE5517D8D}"/>
            </c:ext>
          </c:extLst>
        </c:ser>
        <c:dLbls>
          <c:dLblPos val="inEnd"/>
          <c:showLegendKey val="0"/>
          <c:showVal val="1"/>
          <c:showCatName val="0"/>
          <c:showSerName val="0"/>
          <c:showPercent val="0"/>
          <c:showBubbleSize val="0"/>
        </c:dLbls>
        <c:gapWidth val="41"/>
        <c:axId val="699360728"/>
        <c:axId val="699361088"/>
      </c:barChart>
      <c:catAx>
        <c:axId val="6993607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699361088"/>
        <c:crosses val="autoZero"/>
        <c:auto val="1"/>
        <c:lblAlgn val="ctr"/>
        <c:lblOffset val="100"/>
        <c:noMultiLvlLbl val="0"/>
      </c:catAx>
      <c:valAx>
        <c:axId val="699361088"/>
        <c:scaling>
          <c:orientation val="minMax"/>
        </c:scaling>
        <c:delete val="1"/>
        <c:axPos val="l"/>
        <c:numFmt formatCode="General" sourceLinked="1"/>
        <c:majorTickMark val="none"/>
        <c:minorTickMark val="none"/>
        <c:tickLblPos val="nextTo"/>
        <c:crossAx val="6993607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2 Analyzer.xlsx]Monthly!PivotTable4</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a:t>
            </a:r>
            <a:r>
              <a:rPr lang="en-US" baseline="0"/>
              <a:t> Month</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345551225488021"/>
          <c:y val="0.24142173499864242"/>
          <c:w val="0.80555699768298195"/>
          <c:h val="0.53894282728233633"/>
        </c:manualLayout>
      </c:layout>
      <c:lineChart>
        <c:grouping val="standard"/>
        <c:varyColors val="0"/>
        <c:ser>
          <c:idx val="0"/>
          <c:order val="0"/>
          <c:tx>
            <c:strRef>
              <c:f>Monthly!$B$3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Monthly!$A$4:$A$10</c:f>
              <c:strCache>
                <c:ptCount val="6"/>
                <c:pt idx="0">
                  <c:v>Books</c:v>
                </c:pt>
                <c:pt idx="1">
                  <c:v>Clothing</c:v>
                </c:pt>
                <c:pt idx="2">
                  <c:v>Electronics</c:v>
                </c:pt>
                <c:pt idx="3">
                  <c:v>Furniture</c:v>
                </c:pt>
                <c:pt idx="4">
                  <c:v>Office Supplies</c:v>
                </c:pt>
                <c:pt idx="5">
                  <c:v>(blank)</c:v>
                </c:pt>
              </c:strCache>
            </c:strRef>
          </c:cat>
          <c:val>
            <c:numRef>
              <c:f>Monthly!$B$4:$B$10</c:f>
              <c:numCache>
                <c:formatCode>General</c:formatCode>
                <c:ptCount val="6"/>
                <c:pt idx="0">
                  <c:v>293</c:v>
                </c:pt>
                <c:pt idx="1">
                  <c:v>212</c:v>
                </c:pt>
                <c:pt idx="2">
                  <c:v>317</c:v>
                </c:pt>
                <c:pt idx="3">
                  <c:v>252</c:v>
                </c:pt>
                <c:pt idx="4">
                  <c:v>180</c:v>
                </c:pt>
              </c:numCache>
            </c:numRef>
          </c:val>
          <c:smooth val="0"/>
          <c:extLst>
            <c:ext xmlns:c16="http://schemas.microsoft.com/office/drawing/2014/chart" uri="{C3380CC4-5D6E-409C-BE32-E72D297353CC}">
              <c16:uniqueId val="{00000000-7771-4EF1-B778-378F75519897}"/>
            </c:ext>
          </c:extLst>
        </c:ser>
        <c:dLbls>
          <c:dLblPos val="ctr"/>
          <c:showLegendKey val="0"/>
          <c:showVal val="1"/>
          <c:showCatName val="0"/>
          <c:showSerName val="0"/>
          <c:showPercent val="0"/>
          <c:showBubbleSize val="0"/>
        </c:dLbls>
        <c:marker val="1"/>
        <c:smooth val="0"/>
        <c:axId val="542318288"/>
        <c:axId val="542318648"/>
      </c:lineChart>
      <c:catAx>
        <c:axId val="54231828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Product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2318648"/>
        <c:crosses val="autoZero"/>
        <c:auto val="1"/>
        <c:lblAlgn val="ctr"/>
        <c:lblOffset val="100"/>
        <c:noMultiLvlLbl val="0"/>
      </c:catAx>
      <c:valAx>
        <c:axId val="542318648"/>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month</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2318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2 Analyzer.xlsx]region!PivotTable5</c:name>
    <c:fmtId val="9"/>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Region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pivotFmt>
      <c:pivotFmt>
        <c:idx val="13"/>
        <c:spPr>
          <a:solidFill>
            <a:schemeClr val="accent1"/>
          </a:solidFill>
          <a:ln>
            <a:noFill/>
          </a:ln>
          <a:effectLst>
            <a:outerShdw blurRad="317500" algn="ctr" rotWithShape="0">
              <a:prstClr val="black">
                <a:alpha val="25000"/>
              </a:prstClr>
            </a:outerShdw>
          </a:effectLst>
        </c:spPr>
      </c:pivotFmt>
      <c:pivotFmt>
        <c:idx val="14"/>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26654042477819107"/>
          <c:y val="0.20279945120496301"/>
          <c:w val="0.37197736019193922"/>
          <c:h val="0.68900351944643279"/>
        </c:manualLayout>
      </c:layout>
      <c:doughnutChart>
        <c:varyColors val="1"/>
        <c:ser>
          <c:idx val="0"/>
          <c:order val="0"/>
          <c:tx>
            <c:strRef>
              <c:f>region!$B$3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E6C0-4B94-940C-9B0093336556}"/>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E6C0-4B94-940C-9B0093336556}"/>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E6C0-4B94-940C-9B0093336556}"/>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E6C0-4B94-940C-9B0093336556}"/>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E6C0-4B94-940C-9B0093336556}"/>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E6C0-4B94-940C-9B009333655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region!$A$4:$A$10</c:f>
              <c:strCache>
                <c:ptCount val="6"/>
                <c:pt idx="0">
                  <c:v>Central</c:v>
                </c:pt>
                <c:pt idx="1">
                  <c:v>East</c:v>
                </c:pt>
                <c:pt idx="2">
                  <c:v>North</c:v>
                </c:pt>
                <c:pt idx="3">
                  <c:v>South</c:v>
                </c:pt>
                <c:pt idx="4">
                  <c:v>West</c:v>
                </c:pt>
                <c:pt idx="5">
                  <c:v>(blank)</c:v>
                </c:pt>
              </c:strCache>
            </c:strRef>
          </c:cat>
          <c:val>
            <c:numRef>
              <c:f>region!$B$4:$B$10</c:f>
              <c:numCache>
                <c:formatCode>General</c:formatCode>
                <c:ptCount val="6"/>
                <c:pt idx="0">
                  <c:v>43468.33</c:v>
                </c:pt>
                <c:pt idx="1">
                  <c:v>32441.64</c:v>
                </c:pt>
                <c:pt idx="2">
                  <c:v>34975.42</c:v>
                </c:pt>
                <c:pt idx="3">
                  <c:v>40248.79</c:v>
                </c:pt>
                <c:pt idx="4">
                  <c:v>44083.58</c:v>
                </c:pt>
              </c:numCache>
            </c:numRef>
          </c:val>
          <c:extLst>
            <c:ext xmlns:c16="http://schemas.microsoft.com/office/drawing/2014/chart" uri="{C3380CC4-5D6E-409C-BE32-E72D297353CC}">
              <c16:uniqueId val="{0000000C-E6C0-4B94-940C-9B0093336556}"/>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[PR. 2 Analyzer.xlsx]product vs sales!PivotTable2</c:name>
    <c:fmtId val="4"/>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IN"/>
              <a:t>Product Vs Sales</a:t>
            </a:r>
          </a:p>
          <a:p>
            <a:pPr>
              <a:defRPr/>
            </a:pPr>
            <a:endParaRPr lang="en-IN"/>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5"/>
              </a:gs>
              <a:gs pos="100000">
                <a:schemeClr val="accent5">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vs sales'!$B$3</c:f>
              <c:strCache>
                <c:ptCount val="1"/>
                <c:pt idx="0">
                  <c:v>Total</c:v>
                </c:pt>
              </c:strCache>
            </c:strRef>
          </c:tx>
          <c:spPr>
            <a:gradFill>
              <a:gsLst>
                <a:gs pos="0">
                  <a:schemeClr val="accent5"/>
                </a:gs>
                <a:gs pos="100000">
                  <a:schemeClr val="accent5">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'product vs sales'!$A$4:$A$10</c:f>
              <c:strCache>
                <c:ptCount val="6"/>
                <c:pt idx="0">
                  <c:v>Books</c:v>
                </c:pt>
                <c:pt idx="1">
                  <c:v>Clothing</c:v>
                </c:pt>
                <c:pt idx="2">
                  <c:v>Electronics</c:v>
                </c:pt>
                <c:pt idx="3">
                  <c:v>Furniture</c:v>
                </c:pt>
                <c:pt idx="4">
                  <c:v>Office Supplies</c:v>
                </c:pt>
                <c:pt idx="5">
                  <c:v>(blank)</c:v>
                </c:pt>
              </c:strCache>
            </c:strRef>
          </c:cat>
          <c:val>
            <c:numRef>
              <c:f>'product vs sales'!$B$4:$B$10</c:f>
              <c:numCache>
                <c:formatCode>General</c:formatCode>
                <c:ptCount val="6"/>
                <c:pt idx="0">
                  <c:v>47002.460000000006</c:v>
                </c:pt>
                <c:pt idx="1">
                  <c:v>41927.589999999989</c:v>
                </c:pt>
                <c:pt idx="2">
                  <c:v>41044.000000000007</c:v>
                </c:pt>
                <c:pt idx="3">
                  <c:v>36612.89</c:v>
                </c:pt>
                <c:pt idx="4">
                  <c:v>28630.819999999992</c:v>
                </c:pt>
              </c:numCache>
            </c:numRef>
          </c:val>
          <c:extLst>
            <c:ext xmlns:c16="http://schemas.microsoft.com/office/drawing/2014/chart" uri="{C3380CC4-5D6E-409C-BE32-E72D297353CC}">
              <c16:uniqueId val="{00000000-8B64-4C19-BB9E-91D14A8A445A}"/>
            </c:ext>
          </c:extLst>
        </c:ser>
        <c:dLbls>
          <c:dLblPos val="inEnd"/>
          <c:showLegendKey val="0"/>
          <c:showVal val="1"/>
          <c:showCatName val="0"/>
          <c:showSerName val="0"/>
          <c:showPercent val="0"/>
          <c:showBubbleSize val="0"/>
        </c:dLbls>
        <c:gapWidth val="41"/>
        <c:axId val="699360728"/>
        <c:axId val="699361088"/>
      </c:barChart>
      <c:catAx>
        <c:axId val="6993607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699361088"/>
        <c:crosses val="autoZero"/>
        <c:auto val="1"/>
        <c:lblAlgn val="ctr"/>
        <c:lblOffset val="100"/>
        <c:noMultiLvlLbl val="0"/>
      </c:catAx>
      <c:valAx>
        <c:axId val="699361088"/>
        <c:scaling>
          <c:orientation val="minMax"/>
        </c:scaling>
        <c:delete val="1"/>
        <c:axPos val="l"/>
        <c:numFmt formatCode="General" sourceLinked="1"/>
        <c:majorTickMark val="none"/>
        <c:minorTickMark val="none"/>
        <c:tickLblPos val="nextTo"/>
        <c:crossAx val="6993607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2 Analyzer.xlsx]Monthly!PivotTable4</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a:t>
            </a:r>
            <a:r>
              <a:rPr lang="en-US" baseline="0"/>
              <a:t> Month</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7149683758315694E-2"/>
          <c:y val="0.21268610281473435"/>
          <c:w val="0.80555699768298195"/>
          <c:h val="0.53894282728233633"/>
        </c:manualLayout>
      </c:layout>
      <c:lineChart>
        <c:grouping val="standard"/>
        <c:varyColors val="0"/>
        <c:ser>
          <c:idx val="0"/>
          <c:order val="0"/>
          <c:tx>
            <c:strRef>
              <c:f>Monthly!$B$3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Monthly!$A$4:$A$10</c:f>
              <c:strCache>
                <c:ptCount val="6"/>
                <c:pt idx="0">
                  <c:v>Books</c:v>
                </c:pt>
                <c:pt idx="1">
                  <c:v>Clothing</c:v>
                </c:pt>
                <c:pt idx="2">
                  <c:v>Electronics</c:v>
                </c:pt>
                <c:pt idx="3">
                  <c:v>Furniture</c:v>
                </c:pt>
                <c:pt idx="4">
                  <c:v>Office Supplies</c:v>
                </c:pt>
                <c:pt idx="5">
                  <c:v>(blank)</c:v>
                </c:pt>
              </c:strCache>
            </c:strRef>
          </c:cat>
          <c:val>
            <c:numRef>
              <c:f>Monthly!$B$4:$B$10</c:f>
              <c:numCache>
                <c:formatCode>General</c:formatCode>
                <c:ptCount val="6"/>
                <c:pt idx="0">
                  <c:v>293</c:v>
                </c:pt>
                <c:pt idx="1">
                  <c:v>212</c:v>
                </c:pt>
                <c:pt idx="2">
                  <c:v>317</c:v>
                </c:pt>
                <c:pt idx="3">
                  <c:v>252</c:v>
                </c:pt>
                <c:pt idx="4">
                  <c:v>180</c:v>
                </c:pt>
              </c:numCache>
            </c:numRef>
          </c:val>
          <c:smooth val="0"/>
          <c:extLst>
            <c:ext xmlns:c16="http://schemas.microsoft.com/office/drawing/2014/chart" uri="{C3380CC4-5D6E-409C-BE32-E72D297353CC}">
              <c16:uniqueId val="{00000000-E6C0-4D75-84E5-77AA590FA9AC}"/>
            </c:ext>
          </c:extLst>
        </c:ser>
        <c:dLbls>
          <c:dLblPos val="ctr"/>
          <c:showLegendKey val="0"/>
          <c:showVal val="1"/>
          <c:showCatName val="0"/>
          <c:showSerName val="0"/>
          <c:showPercent val="0"/>
          <c:showBubbleSize val="0"/>
        </c:dLbls>
        <c:marker val="1"/>
        <c:smooth val="0"/>
        <c:axId val="542318288"/>
        <c:axId val="542318648"/>
      </c:lineChart>
      <c:catAx>
        <c:axId val="54231828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Product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2318648"/>
        <c:crosses val="autoZero"/>
        <c:auto val="1"/>
        <c:lblAlgn val="ctr"/>
        <c:lblOffset val="100"/>
        <c:noMultiLvlLbl val="0"/>
      </c:catAx>
      <c:valAx>
        <c:axId val="542318648"/>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month</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2318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2 Analyzer.xlsx]region!PivotTable5</c:name>
    <c:fmtId val="5"/>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Region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s>
    <c:plotArea>
      <c:layout/>
      <c:doughnutChart>
        <c:varyColors val="1"/>
        <c:ser>
          <c:idx val="0"/>
          <c:order val="0"/>
          <c:tx>
            <c:strRef>
              <c:f>region!$B$3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8E22-408D-96AD-06E312D485AF}"/>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8E22-408D-96AD-06E312D485AF}"/>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8E22-408D-96AD-06E312D485AF}"/>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8E22-408D-96AD-06E312D485AF}"/>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8E22-408D-96AD-06E312D485AF}"/>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8E22-408D-96AD-06E312D485A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region!$A$4:$A$10</c:f>
              <c:strCache>
                <c:ptCount val="6"/>
                <c:pt idx="0">
                  <c:v>Central</c:v>
                </c:pt>
                <c:pt idx="1">
                  <c:v>East</c:v>
                </c:pt>
                <c:pt idx="2">
                  <c:v>North</c:v>
                </c:pt>
                <c:pt idx="3">
                  <c:v>South</c:v>
                </c:pt>
                <c:pt idx="4">
                  <c:v>West</c:v>
                </c:pt>
                <c:pt idx="5">
                  <c:v>(blank)</c:v>
                </c:pt>
              </c:strCache>
            </c:strRef>
          </c:cat>
          <c:val>
            <c:numRef>
              <c:f>region!$B$4:$B$10</c:f>
              <c:numCache>
                <c:formatCode>General</c:formatCode>
                <c:ptCount val="6"/>
                <c:pt idx="0">
                  <c:v>43468.33</c:v>
                </c:pt>
                <c:pt idx="1">
                  <c:v>32441.64</c:v>
                </c:pt>
                <c:pt idx="2">
                  <c:v>34975.42</c:v>
                </c:pt>
                <c:pt idx="3">
                  <c:v>40248.79</c:v>
                </c:pt>
                <c:pt idx="4">
                  <c:v>44083.58</c:v>
                </c:pt>
              </c:numCache>
            </c:numRef>
          </c:val>
          <c:extLst>
            <c:ext xmlns:c16="http://schemas.microsoft.com/office/drawing/2014/chart" uri="{C3380CC4-5D6E-409C-BE32-E72D297353CC}">
              <c16:uniqueId val="{00000000-AEDA-4A8F-911C-C98DA928D5CA}"/>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0</xdr:colOff>
      <xdr:row>4</xdr:row>
      <xdr:rowOff>114300</xdr:rowOff>
    </xdr:from>
    <xdr:to>
      <xdr:col>10</xdr:col>
      <xdr:colOff>289560</xdr:colOff>
      <xdr:row>21</xdr:row>
      <xdr:rowOff>167640</xdr:rowOff>
    </xdr:to>
    <xdr:graphicFrame macro="">
      <xdr:nvGraphicFramePr>
        <xdr:cNvPr id="2" name="Chart 1">
          <a:extLst>
            <a:ext uri="{FF2B5EF4-FFF2-40B4-BE49-F238E27FC236}">
              <a16:creationId xmlns:a16="http://schemas.microsoft.com/office/drawing/2014/main" id="{A6082673-CD50-4568-9FC2-7098C7D4D1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342900</xdr:colOff>
      <xdr:row>22</xdr:row>
      <xdr:rowOff>68580</xdr:rowOff>
    </xdr:from>
    <xdr:to>
      <xdr:col>12</xdr:col>
      <xdr:colOff>396240</xdr:colOff>
      <xdr:row>41</xdr:row>
      <xdr:rowOff>129540</xdr:rowOff>
    </xdr:to>
    <xdr:graphicFrame macro="">
      <xdr:nvGraphicFramePr>
        <xdr:cNvPr id="3" name="Chart 2">
          <a:extLst>
            <a:ext uri="{FF2B5EF4-FFF2-40B4-BE49-F238E27FC236}">
              <a16:creationId xmlns:a16="http://schemas.microsoft.com/office/drawing/2014/main" id="{0EF50B7D-0798-4D67-B60D-7400B59B46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419100</xdr:colOff>
      <xdr:row>3</xdr:row>
      <xdr:rowOff>121920</xdr:rowOff>
    </xdr:from>
    <xdr:to>
      <xdr:col>20</xdr:col>
      <xdr:colOff>533400</xdr:colOff>
      <xdr:row>22</xdr:row>
      <xdr:rowOff>0</xdr:rowOff>
    </xdr:to>
    <xdr:graphicFrame macro="">
      <xdr:nvGraphicFramePr>
        <xdr:cNvPr id="4" name="Chart 3">
          <a:extLst>
            <a:ext uri="{FF2B5EF4-FFF2-40B4-BE49-F238E27FC236}">
              <a16:creationId xmlns:a16="http://schemas.microsoft.com/office/drawing/2014/main" id="{73B051FC-ED26-4C61-9BBC-5313C47424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426720</xdr:colOff>
      <xdr:row>0</xdr:row>
      <xdr:rowOff>137160</xdr:rowOff>
    </xdr:from>
    <xdr:to>
      <xdr:col>6</xdr:col>
      <xdr:colOff>38100</xdr:colOff>
      <xdr:row>3</xdr:row>
      <xdr:rowOff>30480</xdr:rowOff>
    </xdr:to>
    <xdr:sp macro="" textlink="">
      <xdr:nvSpPr>
        <xdr:cNvPr id="5" name="TextBox 4">
          <a:extLst>
            <a:ext uri="{FF2B5EF4-FFF2-40B4-BE49-F238E27FC236}">
              <a16:creationId xmlns:a16="http://schemas.microsoft.com/office/drawing/2014/main" id="{B1470D77-5916-CCC1-F729-0FBF31276B26}"/>
            </a:ext>
          </a:extLst>
        </xdr:cNvPr>
        <xdr:cNvSpPr txBox="1"/>
      </xdr:nvSpPr>
      <xdr:spPr>
        <a:xfrm>
          <a:off x="426720" y="137160"/>
          <a:ext cx="3268980" cy="44196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u="sng">
              <a:latin typeface="Algerian" panose="04020705040A02060702" pitchFamily="82" charset="0"/>
            </a:rPr>
            <a:t>Analyzer Project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289560</xdr:colOff>
      <xdr:row>5</xdr:row>
      <xdr:rowOff>15240</xdr:rowOff>
    </xdr:from>
    <xdr:to>
      <xdr:col>16</xdr:col>
      <xdr:colOff>441960</xdr:colOff>
      <xdr:row>22</xdr:row>
      <xdr:rowOff>68580</xdr:rowOff>
    </xdr:to>
    <xdr:graphicFrame macro="">
      <xdr:nvGraphicFramePr>
        <xdr:cNvPr id="4" name="Chart 3">
          <a:extLst>
            <a:ext uri="{FF2B5EF4-FFF2-40B4-BE49-F238E27FC236}">
              <a16:creationId xmlns:a16="http://schemas.microsoft.com/office/drawing/2014/main" id="{BB64C607-7773-26CA-7E1F-A73C630A49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99060</xdr:colOff>
      <xdr:row>5</xdr:row>
      <xdr:rowOff>30480</xdr:rowOff>
    </xdr:from>
    <xdr:to>
      <xdr:col>22</xdr:col>
      <xdr:colOff>160020</xdr:colOff>
      <xdr:row>24</xdr:row>
      <xdr:rowOff>91440</xdr:rowOff>
    </xdr:to>
    <xdr:graphicFrame macro="">
      <xdr:nvGraphicFramePr>
        <xdr:cNvPr id="2" name="Chart 1">
          <a:extLst>
            <a:ext uri="{FF2B5EF4-FFF2-40B4-BE49-F238E27FC236}">
              <a16:creationId xmlns:a16="http://schemas.microsoft.com/office/drawing/2014/main" id="{8A3CC26D-2F1D-139A-B127-D35162BD4D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220980</xdr:colOff>
      <xdr:row>4</xdr:row>
      <xdr:rowOff>160020</xdr:rowOff>
    </xdr:from>
    <xdr:to>
      <xdr:col>14</xdr:col>
      <xdr:colOff>335280</xdr:colOff>
      <xdr:row>23</xdr:row>
      <xdr:rowOff>38100</xdr:rowOff>
    </xdr:to>
    <xdr:graphicFrame macro="">
      <xdr:nvGraphicFramePr>
        <xdr:cNvPr id="2" name="Chart 1">
          <a:extLst>
            <a:ext uri="{FF2B5EF4-FFF2-40B4-BE49-F238E27FC236}">
              <a16:creationId xmlns:a16="http://schemas.microsoft.com/office/drawing/2014/main" id="{6E521B33-9910-07C0-3099-BA6610D81E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41.716212847219" createdVersion="8" refreshedVersion="8" minRefreshableVersion="3" recordCount="208" xr:uid="{1F323127-15AB-4608-BCC4-226A2D517D35}">
  <cacheSource type="worksheet">
    <worksheetSource ref="A1:J1048576" sheet="Dataset"/>
  </cacheSource>
  <cacheFields count="10">
    <cacheField name="Customer_ID" numFmtId="2">
      <sharedItems containsBlank="1"/>
    </cacheField>
    <cacheField name="Customer_Name" numFmtId="0">
      <sharedItems containsBlank="1"/>
    </cacheField>
    <cacheField name="Region" numFmtId="0">
      <sharedItems containsBlank="1" count="6">
        <s v="West"/>
        <s v="East"/>
        <s v="South"/>
        <s v="North"/>
        <s v="Central"/>
        <m/>
      </sharedItems>
    </cacheField>
    <cacheField name="Product_Category" numFmtId="0">
      <sharedItems containsBlank="1" count="6">
        <s v="Books"/>
        <s v="Clothing"/>
        <s v="Electronics"/>
        <s v="Furniture"/>
        <s v="Office Supplies"/>
        <m/>
      </sharedItems>
    </cacheField>
    <cacheField name="Sales" numFmtId="164">
      <sharedItems containsString="0" containsBlank="1" containsNumber="1" minValue="258.51" maxValue="1923.66"/>
    </cacheField>
    <cacheField name="Quantity" numFmtId="0">
      <sharedItems containsString="0" containsBlank="1" containsNumber="1" containsInteger="1" minValue="1" maxValue="19" count="20">
        <n v="4"/>
        <n v="3"/>
        <n v="17"/>
        <n v="12"/>
        <n v="8"/>
        <n v="6"/>
        <n v="11"/>
        <n v="2"/>
        <n v="14"/>
        <n v="7"/>
        <n v="15"/>
        <n v="10"/>
        <n v="13"/>
        <n v="9"/>
        <n v="18"/>
        <n v="19"/>
        <n v="5"/>
        <n v="1"/>
        <n v="16"/>
        <m/>
      </sharedItems>
    </cacheField>
    <cacheField name="Discount" numFmtId="0">
      <sharedItems containsString="0" containsBlank="1" containsNumber="1" minValue="0" maxValue="0.2"/>
    </cacheField>
    <cacheField name="Month" numFmtId="0">
      <sharedItems containsString="0" containsBlank="1" containsNumber="1" containsInteger="1" minValue="1" maxValue="12" count="13">
        <n v="4"/>
        <n v="5"/>
        <n v="6"/>
        <n v="7"/>
        <n v="8"/>
        <n v="9"/>
        <n v="10"/>
        <n v="11"/>
        <n v="12"/>
        <n v="1"/>
        <n v="2"/>
        <n v="3"/>
        <m/>
      </sharedItems>
    </cacheField>
    <cacheField name="Order_Date" numFmtId="14">
      <sharedItems containsNonDate="0" containsDate="1" containsString="0" containsBlank="1" minDate="2024-04-10T00:00:00" maxDate="2025-04-08T00:00:00"/>
    </cacheField>
    <cacheField name="Profit" numFmtId="164">
      <sharedItems containsString="0" containsBlank="1" containsNumber="1" minValue="64.63" maxValue="769.4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8">
  <r>
    <s v="CUST019"/>
    <s v="James Davis"/>
    <x v="0"/>
    <x v="0"/>
    <n v="1036.0899999999999"/>
    <x v="0"/>
    <n v="0.2"/>
    <x v="0"/>
    <d v="2024-04-10T00:00:00"/>
    <n v="331.55"/>
  </r>
  <r>
    <s v="CUST012"/>
    <s v="Robert Anderson"/>
    <x v="0"/>
    <x v="1"/>
    <n v="1101.28"/>
    <x v="1"/>
    <n v="0.2"/>
    <x v="0"/>
    <d v="2024-04-11T00:00:00"/>
    <n v="440.51"/>
  </r>
  <r>
    <s v="CUST017"/>
    <s v="James Taylor"/>
    <x v="1"/>
    <x v="0"/>
    <n v="713.34"/>
    <x v="2"/>
    <n v="0"/>
    <x v="0"/>
    <d v="2024-04-14T00:00:00"/>
    <n v="285.33999999999997"/>
  </r>
  <r>
    <s v="CUST005"/>
    <s v="Robert Anderson"/>
    <x v="2"/>
    <x v="2"/>
    <n v="760.93"/>
    <x v="0"/>
    <n v="0.15"/>
    <x v="0"/>
    <d v="2024-04-14T00:00:00"/>
    <n v="161.69999999999999"/>
  </r>
  <r>
    <s v="CUST030"/>
    <s v="James Wilson"/>
    <x v="3"/>
    <x v="0"/>
    <n v="847"/>
    <x v="3"/>
    <n v="0.2"/>
    <x v="0"/>
    <d v="2024-04-15T00:00:00"/>
    <n v="271.04000000000002"/>
  </r>
  <r>
    <s v="CUST007"/>
    <s v="Michael Anderson"/>
    <x v="3"/>
    <x v="3"/>
    <n v="965.64"/>
    <x v="4"/>
    <n v="0.1"/>
    <x v="0"/>
    <d v="2024-04-16T00:00:00"/>
    <n v="304.18"/>
  </r>
  <r>
    <s v="CUST001"/>
    <s v="Linda Wilson"/>
    <x v="0"/>
    <x v="2"/>
    <n v="1317.53"/>
    <x v="3"/>
    <n v="0.05"/>
    <x v="0"/>
    <d v="2024-04-16T00:00:00"/>
    <n v="312.91000000000003"/>
  </r>
  <r>
    <s v="CUST026"/>
    <s v="Mary Davis"/>
    <x v="1"/>
    <x v="3"/>
    <n v="1074.47"/>
    <x v="5"/>
    <n v="0.2"/>
    <x v="0"/>
    <d v="2024-04-19T00:00:00"/>
    <n v="300.85000000000002"/>
  </r>
  <r>
    <s v="CUST009"/>
    <s v="Linda Jackson"/>
    <x v="4"/>
    <x v="0"/>
    <n v="501.54"/>
    <x v="6"/>
    <n v="0.05"/>
    <x v="0"/>
    <d v="2024-04-19T00:00:00"/>
    <n v="190.59"/>
  </r>
  <r>
    <s v="CUST010"/>
    <s v="David Thomas"/>
    <x v="4"/>
    <x v="1"/>
    <n v="737.31"/>
    <x v="7"/>
    <n v="0.05"/>
    <x v="0"/>
    <d v="2024-04-19T00:00:00"/>
    <n v="350.22"/>
  </r>
  <r>
    <s v="CUST014"/>
    <s v="Emma Davis"/>
    <x v="0"/>
    <x v="4"/>
    <n v="1572.82"/>
    <x v="5"/>
    <n v="0.05"/>
    <x v="0"/>
    <d v="2024-04-20T00:00:00"/>
    <n v="672.38"/>
  </r>
  <r>
    <s v="CUST014"/>
    <s v="David Thomas"/>
    <x v="4"/>
    <x v="0"/>
    <n v="1343.13"/>
    <x v="8"/>
    <n v="0.15"/>
    <x v="0"/>
    <d v="2024-04-22T00:00:00"/>
    <n v="456.66"/>
  </r>
  <r>
    <s v="CUST007"/>
    <s v="Michael Anderson"/>
    <x v="4"/>
    <x v="0"/>
    <n v="1191.58"/>
    <x v="8"/>
    <n v="0.05"/>
    <x v="0"/>
    <d v="2024-04-24T00:00:00"/>
    <n v="452.8"/>
  </r>
  <r>
    <s v="CUST023"/>
    <s v="Robert Anderson"/>
    <x v="0"/>
    <x v="3"/>
    <n v="822.28"/>
    <x v="9"/>
    <n v="0.05"/>
    <x v="0"/>
    <d v="2024-04-24T00:00:00"/>
    <n v="273.41000000000003"/>
  </r>
  <r>
    <s v="CUST029"/>
    <s v="David Smith"/>
    <x v="3"/>
    <x v="3"/>
    <n v="521.66999999999996"/>
    <x v="10"/>
    <n v="0.15"/>
    <x v="0"/>
    <d v="2024-04-27T00:00:00"/>
    <n v="155.19999999999999"/>
  </r>
  <r>
    <s v="CUST005"/>
    <s v="Sarah Anderson"/>
    <x v="2"/>
    <x v="2"/>
    <n v="1502.93"/>
    <x v="8"/>
    <n v="0.2"/>
    <x v="0"/>
    <d v="2024-04-28T00:00:00"/>
    <n v="300.58999999999997"/>
  </r>
  <r>
    <s v="CUST008"/>
    <s v="Robert Anderson"/>
    <x v="2"/>
    <x v="0"/>
    <n v="877.58"/>
    <x v="11"/>
    <n v="0.15"/>
    <x v="0"/>
    <d v="2024-04-29T00:00:00"/>
    <n v="298.38"/>
  </r>
  <r>
    <s v="CUST001"/>
    <s v="Lisa Thomas"/>
    <x v="0"/>
    <x v="0"/>
    <n v="636.70000000000005"/>
    <x v="0"/>
    <n v="0.2"/>
    <x v="0"/>
    <d v="2024-04-29T00:00:00"/>
    <n v="203.74"/>
  </r>
  <r>
    <s v="CUST006"/>
    <s v="Mary Jackson"/>
    <x v="0"/>
    <x v="0"/>
    <n v="1506.14"/>
    <x v="12"/>
    <n v="0.2"/>
    <x v="0"/>
    <d v="2024-04-30T00:00:00"/>
    <n v="481.96"/>
  </r>
  <r>
    <s v="CUST026"/>
    <s v="Mary Davis"/>
    <x v="4"/>
    <x v="2"/>
    <n v="645.02"/>
    <x v="0"/>
    <n v="0"/>
    <x v="1"/>
    <d v="2024-05-02T00:00:00"/>
    <n v="161.26"/>
  </r>
  <r>
    <s v="CUST007"/>
    <s v="Lisa Davis"/>
    <x v="2"/>
    <x v="1"/>
    <n v="953.3"/>
    <x v="6"/>
    <n v="0"/>
    <x v="1"/>
    <d v="2024-05-03T00:00:00"/>
    <n v="476.65"/>
  </r>
  <r>
    <s v="CUST022"/>
    <s v="Robert Anderson"/>
    <x v="3"/>
    <x v="2"/>
    <n v="388.56"/>
    <x v="8"/>
    <n v="0.15"/>
    <x v="1"/>
    <d v="2024-05-04T00:00:00"/>
    <n v="82.57"/>
  </r>
  <r>
    <s v="CUST019"/>
    <s v="Mary Davis"/>
    <x v="0"/>
    <x v="0"/>
    <n v="743.17"/>
    <x v="13"/>
    <n v="0"/>
    <x v="1"/>
    <d v="2024-05-04T00:00:00"/>
    <n v="297.27"/>
  </r>
  <r>
    <s v="CUST023"/>
    <s v="Mary Davis"/>
    <x v="4"/>
    <x v="2"/>
    <n v="706.37"/>
    <x v="5"/>
    <n v="0"/>
    <x v="1"/>
    <d v="2024-05-04T00:00:00"/>
    <n v="176.59"/>
  </r>
  <r>
    <s v="CUST012"/>
    <s v="Mary Davis"/>
    <x v="4"/>
    <x v="4"/>
    <n v="925.31"/>
    <x v="4"/>
    <n v="0.1"/>
    <x v="1"/>
    <d v="2024-05-06T00:00:00"/>
    <n v="374.75"/>
  </r>
  <r>
    <s v="CUST010"/>
    <s v="Linda Brown"/>
    <x v="2"/>
    <x v="2"/>
    <n v="1173.1199999999999"/>
    <x v="14"/>
    <n v="0"/>
    <x v="1"/>
    <d v="2024-05-06T00:00:00"/>
    <n v="293.27999999999997"/>
  </r>
  <r>
    <s v="CUST030"/>
    <s v="John Brown"/>
    <x v="3"/>
    <x v="3"/>
    <n v="675.54"/>
    <x v="2"/>
    <n v="0"/>
    <x v="1"/>
    <d v="2024-05-08T00:00:00"/>
    <n v="236.44"/>
  </r>
  <r>
    <s v="CUST007"/>
    <s v="Robert Anderson"/>
    <x v="4"/>
    <x v="0"/>
    <n v="939.09"/>
    <x v="7"/>
    <n v="0.05"/>
    <x v="1"/>
    <d v="2024-05-10T00:00:00"/>
    <n v="356.85"/>
  </r>
  <r>
    <s v="CUST028"/>
    <s v="Linda Taylor"/>
    <x v="1"/>
    <x v="4"/>
    <n v="983.34"/>
    <x v="15"/>
    <n v="0.1"/>
    <x v="1"/>
    <d v="2024-05-14T00:00:00"/>
    <n v="398.25"/>
  </r>
  <r>
    <s v="CUST028"/>
    <s v="James Wilson"/>
    <x v="2"/>
    <x v="2"/>
    <n v="801.21"/>
    <x v="1"/>
    <n v="0.2"/>
    <x v="1"/>
    <d v="2024-05-14T00:00:00"/>
    <n v="160.24"/>
  </r>
  <r>
    <s v="CUST025"/>
    <s v="David Brown"/>
    <x v="3"/>
    <x v="2"/>
    <n v="1450.71"/>
    <x v="16"/>
    <n v="0.1"/>
    <x v="1"/>
    <d v="2024-05-15T00:00:00"/>
    <n v="326.41000000000003"/>
  </r>
  <r>
    <s v="CUST022"/>
    <s v="David Davis"/>
    <x v="4"/>
    <x v="0"/>
    <n v="1023.21"/>
    <x v="14"/>
    <n v="0.05"/>
    <x v="1"/>
    <d v="2024-05-16T00:00:00"/>
    <n v="388.82"/>
  </r>
  <r>
    <s v="CUST001"/>
    <s v="Mary Jackson"/>
    <x v="0"/>
    <x v="3"/>
    <n v="853.72"/>
    <x v="16"/>
    <n v="0.15"/>
    <x v="1"/>
    <d v="2024-05-16T00:00:00"/>
    <n v="253.98"/>
  </r>
  <r>
    <s v="CUST021"/>
    <s v="Sarah Anderson"/>
    <x v="2"/>
    <x v="2"/>
    <n v="967.89"/>
    <x v="11"/>
    <n v="0.1"/>
    <x v="1"/>
    <d v="2024-05-17T00:00:00"/>
    <n v="217.78"/>
  </r>
  <r>
    <s v="CUST015"/>
    <s v="Linda Taylor"/>
    <x v="3"/>
    <x v="4"/>
    <n v="1200.9000000000001"/>
    <x v="8"/>
    <n v="0.05"/>
    <x v="1"/>
    <d v="2024-05-17T00:00:00"/>
    <n v="513.38"/>
  </r>
  <r>
    <s v="CUST012"/>
    <s v="Michael Anderson"/>
    <x v="0"/>
    <x v="0"/>
    <n v="472.38"/>
    <x v="3"/>
    <n v="0.2"/>
    <x v="1"/>
    <d v="2024-05-17T00:00:00"/>
    <n v="151.16"/>
  </r>
  <r>
    <s v="CUST019"/>
    <s v="David Brown"/>
    <x v="1"/>
    <x v="4"/>
    <n v="840.92"/>
    <x v="13"/>
    <n v="0.05"/>
    <x v="1"/>
    <d v="2024-05-17T00:00:00"/>
    <n v="359.49"/>
  </r>
  <r>
    <s v="CUST028"/>
    <s v="Lisa Davis"/>
    <x v="4"/>
    <x v="3"/>
    <n v="1410.06"/>
    <x v="6"/>
    <n v="0.05"/>
    <x v="1"/>
    <d v="2024-05-22T00:00:00"/>
    <n v="468.84"/>
  </r>
  <r>
    <s v="CUST008"/>
    <s v="Mary Wilson"/>
    <x v="4"/>
    <x v="3"/>
    <n v="773.09"/>
    <x v="12"/>
    <n v="0.15"/>
    <x v="1"/>
    <d v="2024-05-22T00:00:00"/>
    <n v="229.99"/>
  </r>
  <r>
    <s v="CUST016"/>
    <s v="Emma Wilson"/>
    <x v="1"/>
    <x v="0"/>
    <n v="580.42999999999995"/>
    <x v="15"/>
    <n v="0.15"/>
    <x v="1"/>
    <d v="2024-05-23T00:00:00"/>
    <n v="197.35"/>
  </r>
  <r>
    <s v="CUST005"/>
    <s v="David Smith"/>
    <x v="2"/>
    <x v="0"/>
    <n v="1151.21"/>
    <x v="10"/>
    <n v="0.1"/>
    <x v="2"/>
    <d v="2024-06-02T00:00:00"/>
    <n v="414.44"/>
  </r>
  <r>
    <s v="CUST028"/>
    <s v="James Wilson"/>
    <x v="4"/>
    <x v="4"/>
    <n v="1025.98"/>
    <x v="16"/>
    <n v="0.2"/>
    <x v="2"/>
    <d v="2024-06-04T00:00:00"/>
    <n v="369.35"/>
  </r>
  <r>
    <s v="CUST023"/>
    <s v="David Davis"/>
    <x v="1"/>
    <x v="4"/>
    <n v="556.41999999999996"/>
    <x v="6"/>
    <n v="0.15"/>
    <x v="2"/>
    <d v="2024-06-04T00:00:00"/>
    <n v="212.83"/>
  </r>
  <r>
    <s v="CUST021"/>
    <s v="James Wilson"/>
    <x v="4"/>
    <x v="0"/>
    <n v="840.85"/>
    <x v="15"/>
    <n v="0.1"/>
    <x v="2"/>
    <d v="2024-06-05T00:00:00"/>
    <n v="302.70999999999998"/>
  </r>
  <r>
    <s v="CUST026"/>
    <s v="Emma Wilson"/>
    <x v="3"/>
    <x v="3"/>
    <n v="1227.25"/>
    <x v="3"/>
    <n v="0.15"/>
    <x v="2"/>
    <d v="2024-06-05T00:00:00"/>
    <n v="365.11"/>
  </r>
  <r>
    <s v="CUST017"/>
    <s v="Linda Davis"/>
    <x v="4"/>
    <x v="2"/>
    <n v="856.7"/>
    <x v="7"/>
    <n v="0"/>
    <x v="2"/>
    <d v="2024-06-06T00:00:00"/>
    <n v="214.18"/>
  </r>
  <r>
    <s v="CUST025"/>
    <s v="David Davis"/>
    <x v="4"/>
    <x v="4"/>
    <n v="1225.42"/>
    <x v="4"/>
    <n v="0.15"/>
    <x v="2"/>
    <d v="2024-06-06T00:00:00"/>
    <n v="468.72"/>
  </r>
  <r>
    <s v="CUST011"/>
    <s v="Mary Davis"/>
    <x v="3"/>
    <x v="4"/>
    <n v="1001.57"/>
    <x v="3"/>
    <n v="0"/>
    <x v="2"/>
    <d v="2024-06-07T00:00:00"/>
    <n v="450.71"/>
  </r>
  <r>
    <s v="CUST021"/>
    <s v="Michael Anderson"/>
    <x v="1"/>
    <x v="3"/>
    <n v="1186.8499999999999"/>
    <x v="15"/>
    <n v="0.2"/>
    <x v="2"/>
    <d v="2024-06-08T00:00:00"/>
    <n v="332.32"/>
  </r>
  <r>
    <s v="CUST008"/>
    <s v="John Brown"/>
    <x v="2"/>
    <x v="2"/>
    <n v="775.45"/>
    <x v="5"/>
    <n v="0.1"/>
    <x v="2"/>
    <d v="2024-06-14T00:00:00"/>
    <n v="174.48"/>
  </r>
  <r>
    <s v="CUST007"/>
    <s v="Linda Jackson"/>
    <x v="2"/>
    <x v="2"/>
    <n v="1021.47"/>
    <x v="5"/>
    <n v="0.05"/>
    <x v="2"/>
    <d v="2024-06-18T00:00:00"/>
    <n v="242.6"/>
  </r>
  <r>
    <s v="CUST015"/>
    <s v="James Wilson"/>
    <x v="2"/>
    <x v="1"/>
    <n v="1226.6199999999999"/>
    <x v="9"/>
    <n v="0.1"/>
    <x v="2"/>
    <d v="2024-06-20T00:00:00"/>
    <n v="551.98"/>
  </r>
  <r>
    <s v="CUST030"/>
    <s v="Sarah Davis"/>
    <x v="2"/>
    <x v="3"/>
    <n v="1086.93"/>
    <x v="7"/>
    <n v="0"/>
    <x v="2"/>
    <d v="2024-06-21T00:00:00"/>
    <n v="380.43"/>
  </r>
  <r>
    <s v="CUST002"/>
    <s v="Lisa Davis"/>
    <x v="0"/>
    <x v="0"/>
    <n v="942.9"/>
    <x v="14"/>
    <n v="0.1"/>
    <x v="2"/>
    <d v="2024-06-23T00:00:00"/>
    <n v="339.44"/>
  </r>
  <r>
    <s v="CUST009"/>
    <s v="Emma Davis"/>
    <x v="3"/>
    <x v="2"/>
    <n v="818.8"/>
    <x v="10"/>
    <n v="0.15"/>
    <x v="2"/>
    <d v="2024-06-25T00:00:00"/>
    <n v="173.99"/>
  </r>
  <r>
    <s v="CUST005"/>
    <s v="Robert Anderson"/>
    <x v="2"/>
    <x v="3"/>
    <n v="919.04"/>
    <x v="11"/>
    <n v="0.2"/>
    <x v="2"/>
    <d v="2024-06-25T00:00:00"/>
    <n v="257.33"/>
  </r>
  <r>
    <s v="CUST030"/>
    <s v="Emma Taylor"/>
    <x v="4"/>
    <x v="0"/>
    <n v="973.26"/>
    <x v="6"/>
    <n v="0"/>
    <x v="2"/>
    <d v="2024-06-27T00:00:00"/>
    <n v="389.3"/>
  </r>
  <r>
    <s v="CUST029"/>
    <s v="Sarah Davis"/>
    <x v="3"/>
    <x v="2"/>
    <n v="741.61"/>
    <x v="17"/>
    <n v="0.2"/>
    <x v="2"/>
    <d v="2024-06-28T00:00:00"/>
    <n v="148.32"/>
  </r>
  <r>
    <s v="CUST003"/>
    <s v="Emma Davis"/>
    <x v="3"/>
    <x v="0"/>
    <n v="1248.82"/>
    <x v="7"/>
    <n v="0.1"/>
    <x v="2"/>
    <d v="2024-06-30T00:00:00"/>
    <n v="449.58"/>
  </r>
  <r>
    <s v="CUST012"/>
    <s v="Mary Wilson"/>
    <x v="0"/>
    <x v="1"/>
    <n v="1360.36"/>
    <x v="2"/>
    <n v="0"/>
    <x v="2"/>
    <d v="2024-06-30T00:00:00"/>
    <n v="680.18"/>
  </r>
  <r>
    <s v="CUST021"/>
    <s v="Mary Davis"/>
    <x v="1"/>
    <x v="0"/>
    <n v="1383.3"/>
    <x v="4"/>
    <n v="0.1"/>
    <x v="3"/>
    <d v="2024-07-05T00:00:00"/>
    <n v="497.99"/>
  </r>
  <r>
    <s v="CUST010"/>
    <s v="David Brown"/>
    <x v="4"/>
    <x v="4"/>
    <n v="488.99"/>
    <x v="13"/>
    <n v="0"/>
    <x v="3"/>
    <d v="2024-07-06T00:00:00"/>
    <n v="220.05"/>
  </r>
  <r>
    <s v="CUST026"/>
    <s v="Mary Davis"/>
    <x v="1"/>
    <x v="3"/>
    <n v="933.71"/>
    <x v="2"/>
    <n v="0.1"/>
    <x v="3"/>
    <d v="2024-07-08T00:00:00"/>
    <n v="294.12"/>
  </r>
  <r>
    <s v="CUST003"/>
    <s v="James Davis"/>
    <x v="0"/>
    <x v="2"/>
    <n v="1005.53"/>
    <x v="2"/>
    <n v="0.2"/>
    <x v="3"/>
    <d v="2024-07-08T00:00:00"/>
    <n v="201.11"/>
  </r>
  <r>
    <s v="CUST029"/>
    <s v="Emma Wilson"/>
    <x v="2"/>
    <x v="2"/>
    <n v="1100.0999999999999"/>
    <x v="16"/>
    <n v="0.05"/>
    <x v="3"/>
    <d v="2024-07-09T00:00:00"/>
    <n v="261.27"/>
  </r>
  <r>
    <s v="CUST003"/>
    <s v="James Wilson"/>
    <x v="3"/>
    <x v="3"/>
    <n v="1034.7"/>
    <x v="10"/>
    <n v="0.15"/>
    <x v="3"/>
    <d v="2024-07-14T00:00:00"/>
    <n v="307.82"/>
  </r>
  <r>
    <s v="CUST002"/>
    <s v="Mary Davis"/>
    <x v="2"/>
    <x v="0"/>
    <n v="876.44"/>
    <x v="3"/>
    <n v="0.05"/>
    <x v="3"/>
    <d v="2024-07-15T00:00:00"/>
    <n v="333.05"/>
  </r>
  <r>
    <s v="CUST020"/>
    <s v="David Brown"/>
    <x v="0"/>
    <x v="3"/>
    <n v="1371.34"/>
    <x v="16"/>
    <n v="0.05"/>
    <x v="3"/>
    <d v="2024-07-15T00:00:00"/>
    <n v="455.97"/>
  </r>
  <r>
    <s v="CUST021"/>
    <s v="Mary Jackson"/>
    <x v="3"/>
    <x v="2"/>
    <n v="1020.26"/>
    <x v="6"/>
    <n v="0.05"/>
    <x v="3"/>
    <d v="2024-07-21T00:00:00"/>
    <n v="242.31"/>
  </r>
  <r>
    <s v="CUST008"/>
    <s v="James Davis"/>
    <x v="4"/>
    <x v="4"/>
    <n v="804.81"/>
    <x v="17"/>
    <n v="0.05"/>
    <x v="3"/>
    <d v="2024-07-29T00:00:00"/>
    <n v="344.06"/>
  </r>
  <r>
    <s v="CUST030"/>
    <s v="David Brown"/>
    <x v="4"/>
    <x v="2"/>
    <n v="608.66"/>
    <x v="17"/>
    <n v="0.05"/>
    <x v="3"/>
    <d v="2024-07-30T00:00:00"/>
    <n v="144.56"/>
  </r>
  <r>
    <s v="CUST020"/>
    <s v="Linda Moore"/>
    <x v="2"/>
    <x v="4"/>
    <n v="981.2"/>
    <x v="15"/>
    <n v="0"/>
    <x v="3"/>
    <d v="2024-07-31T00:00:00"/>
    <n v="441.54"/>
  </r>
  <r>
    <s v="CUST024"/>
    <s v="David Brown"/>
    <x v="1"/>
    <x v="2"/>
    <n v="539.77"/>
    <x v="11"/>
    <n v="0.15"/>
    <x v="4"/>
    <d v="2024-08-05T00:00:00"/>
    <n v="114.7"/>
  </r>
  <r>
    <s v="CUST012"/>
    <s v="David Anderson"/>
    <x v="2"/>
    <x v="0"/>
    <n v="804.45"/>
    <x v="16"/>
    <n v="0.2"/>
    <x v="4"/>
    <d v="2024-08-05T00:00:00"/>
    <n v="257.42"/>
  </r>
  <r>
    <s v="CUST024"/>
    <s v="Emma Davis"/>
    <x v="0"/>
    <x v="2"/>
    <n v="1526.6"/>
    <x v="12"/>
    <n v="0.2"/>
    <x v="4"/>
    <d v="2024-08-08T00:00:00"/>
    <n v="305.32"/>
  </r>
  <r>
    <s v="CUST012"/>
    <s v="Linda Wilson"/>
    <x v="0"/>
    <x v="2"/>
    <n v="1215.26"/>
    <x v="16"/>
    <n v="0.15"/>
    <x v="4"/>
    <d v="2024-08-09T00:00:00"/>
    <n v="258.24"/>
  </r>
  <r>
    <s v="CUST005"/>
    <s v="Linda Taylor"/>
    <x v="4"/>
    <x v="3"/>
    <n v="1261.3399999999999"/>
    <x v="1"/>
    <n v="0"/>
    <x v="4"/>
    <d v="2024-08-15T00:00:00"/>
    <n v="441.47"/>
  </r>
  <r>
    <s v="CUST004"/>
    <s v="Lisa Thomas"/>
    <x v="3"/>
    <x v="3"/>
    <n v="518.07000000000005"/>
    <x v="9"/>
    <n v="0.05"/>
    <x v="4"/>
    <d v="2024-08-18T00:00:00"/>
    <n v="172.26"/>
  </r>
  <r>
    <s v="CUST026"/>
    <s v="Linda Wilson"/>
    <x v="0"/>
    <x v="4"/>
    <n v="1111.3399999999999"/>
    <x v="17"/>
    <n v="0"/>
    <x v="4"/>
    <d v="2024-08-19T00:00:00"/>
    <n v="500.1"/>
  </r>
  <r>
    <s v="CUST030"/>
    <s v="Mary Davis"/>
    <x v="1"/>
    <x v="1"/>
    <n v="1291.47"/>
    <x v="14"/>
    <n v="0.1"/>
    <x v="4"/>
    <d v="2024-08-22T00:00:00"/>
    <n v="581.16"/>
  </r>
  <r>
    <s v="CUST007"/>
    <s v="David Brown"/>
    <x v="3"/>
    <x v="0"/>
    <n v="679.71"/>
    <x v="15"/>
    <n v="0"/>
    <x v="4"/>
    <d v="2024-08-30T00:00:00"/>
    <n v="271.88"/>
  </r>
  <r>
    <s v="CUST020"/>
    <s v="Linda Jackson"/>
    <x v="1"/>
    <x v="3"/>
    <n v="1143.69"/>
    <x v="2"/>
    <n v="0"/>
    <x v="4"/>
    <d v="2024-08-30T00:00:00"/>
    <n v="400.29"/>
  </r>
  <r>
    <s v="CUST028"/>
    <s v="Linda Brown"/>
    <x v="4"/>
    <x v="2"/>
    <n v="790.08"/>
    <x v="9"/>
    <n v="0.1"/>
    <x v="5"/>
    <d v="2024-09-01T00:00:00"/>
    <n v="177.77"/>
  </r>
  <r>
    <s v="CUST005"/>
    <s v="Lisa Davis"/>
    <x v="4"/>
    <x v="0"/>
    <n v="1070.68"/>
    <x v="9"/>
    <n v="0.05"/>
    <x v="5"/>
    <d v="2024-09-01T00:00:00"/>
    <n v="406.86"/>
  </r>
  <r>
    <s v="CUST015"/>
    <s v="David Thomas"/>
    <x v="0"/>
    <x v="1"/>
    <n v="1168.8900000000001"/>
    <x v="0"/>
    <n v="0.1"/>
    <x v="5"/>
    <d v="2024-09-09T00:00:00"/>
    <n v="526"/>
  </r>
  <r>
    <s v="CUST003"/>
    <s v="James Davis"/>
    <x v="2"/>
    <x v="2"/>
    <n v="1335.87"/>
    <x v="2"/>
    <n v="0"/>
    <x v="5"/>
    <d v="2024-09-09T00:00:00"/>
    <n v="333.97"/>
  </r>
  <r>
    <s v="CUST023"/>
    <s v="David Brown"/>
    <x v="1"/>
    <x v="3"/>
    <n v="873.7"/>
    <x v="13"/>
    <n v="0"/>
    <x v="5"/>
    <d v="2024-09-11T00:00:00"/>
    <n v="305.8"/>
  </r>
  <r>
    <s v="CUST004"/>
    <s v="Sarah Davis"/>
    <x v="0"/>
    <x v="4"/>
    <n v="1443.98"/>
    <x v="15"/>
    <n v="0"/>
    <x v="5"/>
    <d v="2024-09-12T00:00:00"/>
    <n v="649.79"/>
  </r>
  <r>
    <s v="CUST023"/>
    <s v="James Wilson"/>
    <x v="1"/>
    <x v="4"/>
    <n v="1154.33"/>
    <x v="6"/>
    <n v="0.15"/>
    <x v="5"/>
    <d v="2024-09-14T00:00:00"/>
    <n v="441.53"/>
  </r>
  <r>
    <s v="CUST022"/>
    <s v="Linda Brown"/>
    <x v="2"/>
    <x v="0"/>
    <n v="1264.49"/>
    <x v="18"/>
    <n v="0.05"/>
    <x v="5"/>
    <d v="2024-09-14T00:00:00"/>
    <n v="480.51"/>
  </r>
  <r>
    <s v="CUST007"/>
    <s v="Emma Taylor"/>
    <x v="0"/>
    <x v="3"/>
    <n v="1101.55"/>
    <x v="0"/>
    <n v="0.1"/>
    <x v="5"/>
    <d v="2024-09-16T00:00:00"/>
    <n v="346.99"/>
  </r>
  <r>
    <s v="CUST013"/>
    <s v="Robert Anderson"/>
    <x v="2"/>
    <x v="3"/>
    <n v="727.73"/>
    <x v="17"/>
    <n v="0.1"/>
    <x v="5"/>
    <d v="2024-09-17T00:00:00"/>
    <n v="229.23"/>
  </r>
  <r>
    <s v="CUST027"/>
    <s v="Emma Davis"/>
    <x v="1"/>
    <x v="4"/>
    <n v="875.41"/>
    <x v="12"/>
    <n v="0.15"/>
    <x v="5"/>
    <d v="2024-09-17T00:00:00"/>
    <n v="334.84"/>
  </r>
  <r>
    <s v="CUST003"/>
    <s v="James Wilson"/>
    <x v="0"/>
    <x v="2"/>
    <n v="1158.94"/>
    <x v="15"/>
    <n v="0.2"/>
    <x v="5"/>
    <d v="2024-09-18T00:00:00"/>
    <n v="231.79"/>
  </r>
  <r>
    <s v="CUST018"/>
    <s v="Mary Jackson"/>
    <x v="2"/>
    <x v="0"/>
    <n v="966.3"/>
    <x v="7"/>
    <n v="0.15"/>
    <x v="5"/>
    <d v="2024-09-22T00:00:00"/>
    <n v="328.54"/>
  </r>
  <r>
    <s v="CUST020"/>
    <s v="James Taylor"/>
    <x v="2"/>
    <x v="0"/>
    <n v="917.48"/>
    <x v="5"/>
    <n v="0"/>
    <x v="5"/>
    <d v="2024-09-23T00:00:00"/>
    <n v="366.99"/>
  </r>
  <r>
    <s v="CUST029"/>
    <s v="Emma Wilson"/>
    <x v="0"/>
    <x v="3"/>
    <n v="1172.97"/>
    <x v="9"/>
    <n v="0.15"/>
    <x v="5"/>
    <d v="2024-09-24T00:00:00"/>
    <n v="348.96"/>
  </r>
  <r>
    <s v="CUST021"/>
    <s v="James Wilson"/>
    <x v="3"/>
    <x v="1"/>
    <n v="1205.82"/>
    <x v="6"/>
    <n v="0.1"/>
    <x v="5"/>
    <d v="2024-09-24T00:00:00"/>
    <n v="542.62"/>
  </r>
  <r>
    <s v="CUST017"/>
    <s v="Sarah Davis"/>
    <x v="0"/>
    <x v="4"/>
    <n v="826.93"/>
    <x v="11"/>
    <n v="0.2"/>
    <x v="5"/>
    <d v="2024-09-29T00:00:00"/>
    <n v="297.69"/>
  </r>
  <r>
    <s v="CUST003"/>
    <s v="James Wilson"/>
    <x v="4"/>
    <x v="1"/>
    <n v="902.19"/>
    <x v="3"/>
    <n v="0"/>
    <x v="5"/>
    <d v="2024-09-29T00:00:00"/>
    <n v="451.1"/>
  </r>
  <r>
    <s v="CUST027"/>
    <s v="Emma Davis"/>
    <x v="3"/>
    <x v="0"/>
    <n v="585.97"/>
    <x v="2"/>
    <n v="0.1"/>
    <x v="5"/>
    <d v="2024-09-30T00:00:00"/>
    <n v="210.95"/>
  </r>
  <r>
    <s v="CUST016"/>
    <s v="Michael Anderson"/>
    <x v="3"/>
    <x v="1"/>
    <n v="990.19"/>
    <x v="4"/>
    <n v="0.1"/>
    <x v="5"/>
    <d v="2024-09-30T00:00:00"/>
    <n v="445.59"/>
  </r>
  <r>
    <s v="CUST008"/>
    <s v="David Davis"/>
    <x v="4"/>
    <x v="2"/>
    <n v="1014.09"/>
    <x v="12"/>
    <n v="0.2"/>
    <x v="6"/>
    <d v="2024-10-02T00:00:00"/>
    <n v="202.82"/>
  </r>
  <r>
    <s v="CUST012"/>
    <s v="Lisa Davis"/>
    <x v="3"/>
    <x v="2"/>
    <n v="925.29"/>
    <x v="2"/>
    <n v="0"/>
    <x v="6"/>
    <d v="2024-10-05T00:00:00"/>
    <n v="231.32"/>
  </r>
  <r>
    <s v="CUST025"/>
    <s v="Mary Jackson"/>
    <x v="1"/>
    <x v="3"/>
    <n v="1286.54"/>
    <x v="4"/>
    <n v="0"/>
    <x v="6"/>
    <d v="2024-10-10T00:00:00"/>
    <n v="450.29"/>
  </r>
  <r>
    <s v="CUST014"/>
    <s v="Sarah Davis"/>
    <x v="2"/>
    <x v="0"/>
    <n v="961.62"/>
    <x v="4"/>
    <n v="0.2"/>
    <x v="6"/>
    <d v="2024-10-12T00:00:00"/>
    <n v="307.72000000000003"/>
  </r>
  <r>
    <s v="CUST008"/>
    <s v="James Wilson"/>
    <x v="1"/>
    <x v="0"/>
    <n v="1081.1400000000001"/>
    <x v="15"/>
    <n v="0.15"/>
    <x v="6"/>
    <d v="2024-10-12T00:00:00"/>
    <n v="367.59"/>
  </r>
  <r>
    <s v="CUST015"/>
    <s v="James Wilson"/>
    <x v="0"/>
    <x v="1"/>
    <n v="1923.66"/>
    <x v="13"/>
    <n v="0.2"/>
    <x v="6"/>
    <d v="2024-10-15T00:00:00"/>
    <n v="769.46"/>
  </r>
  <r>
    <s v="CUST025"/>
    <s v="Emma Taylor"/>
    <x v="4"/>
    <x v="1"/>
    <n v="728.71"/>
    <x v="8"/>
    <n v="0.1"/>
    <x v="6"/>
    <d v="2024-10-16T00:00:00"/>
    <n v="327.92"/>
  </r>
  <r>
    <s v="CUST019"/>
    <s v="Linda Jackson"/>
    <x v="4"/>
    <x v="1"/>
    <n v="1301.8900000000001"/>
    <x v="9"/>
    <n v="0.15"/>
    <x v="6"/>
    <d v="2024-10-16T00:00:00"/>
    <n v="553.29999999999995"/>
  </r>
  <r>
    <s v="CUST024"/>
    <s v="Emma Taylor"/>
    <x v="1"/>
    <x v="0"/>
    <n v="980.18"/>
    <x v="18"/>
    <n v="0.1"/>
    <x v="6"/>
    <d v="2024-10-17T00:00:00"/>
    <n v="352.86"/>
  </r>
  <r>
    <s v="CUST027"/>
    <s v="James Wilson"/>
    <x v="0"/>
    <x v="1"/>
    <n v="697.57"/>
    <x v="2"/>
    <n v="0.1"/>
    <x v="6"/>
    <d v="2024-10-19T00:00:00"/>
    <n v="313.91000000000003"/>
  </r>
  <r>
    <s v="CUST006"/>
    <s v="David Anderson"/>
    <x v="0"/>
    <x v="3"/>
    <n v="1193.6099999999999"/>
    <x v="17"/>
    <n v="0.15"/>
    <x v="6"/>
    <d v="2024-10-19T00:00:00"/>
    <n v="355.1"/>
  </r>
  <r>
    <s v="CUST009"/>
    <s v="Emma Davis"/>
    <x v="2"/>
    <x v="2"/>
    <n v="771.02"/>
    <x v="17"/>
    <n v="0"/>
    <x v="6"/>
    <d v="2024-10-20T00:00:00"/>
    <n v="192.76"/>
  </r>
  <r>
    <s v="CUST003"/>
    <s v="Linda Moore"/>
    <x v="3"/>
    <x v="1"/>
    <n v="661.09"/>
    <x v="17"/>
    <n v="0.2"/>
    <x v="6"/>
    <d v="2024-10-28T00:00:00"/>
    <n v="264.44"/>
  </r>
  <r>
    <s v="CUST012"/>
    <s v="David Brown"/>
    <x v="0"/>
    <x v="2"/>
    <n v="688.83"/>
    <x v="10"/>
    <n v="0"/>
    <x v="6"/>
    <d v="2024-10-30T00:00:00"/>
    <n v="172.21"/>
  </r>
  <r>
    <s v="CUST013"/>
    <s v="Linda Wilson"/>
    <x v="4"/>
    <x v="0"/>
    <n v="1249.0999999999999"/>
    <x v="0"/>
    <n v="0.05"/>
    <x v="7"/>
    <d v="2024-11-01T00:00:00"/>
    <n v="474.66"/>
  </r>
  <r>
    <s v="CUST008"/>
    <s v="James Wilson"/>
    <x v="1"/>
    <x v="4"/>
    <n v="1014.22"/>
    <x v="8"/>
    <n v="0.05"/>
    <x v="7"/>
    <d v="2024-11-03T00:00:00"/>
    <n v="433.58"/>
  </r>
  <r>
    <s v="CUST025"/>
    <s v="Lisa Davis"/>
    <x v="1"/>
    <x v="0"/>
    <n v="1010.58"/>
    <x v="7"/>
    <n v="0.15"/>
    <x v="7"/>
    <d v="2024-11-09T00:00:00"/>
    <n v="343.6"/>
  </r>
  <r>
    <s v="CUST026"/>
    <s v="Mary Wilson"/>
    <x v="3"/>
    <x v="3"/>
    <n v="957.29"/>
    <x v="0"/>
    <n v="0.05"/>
    <x v="7"/>
    <d v="2024-11-09T00:00:00"/>
    <n v="318.3"/>
  </r>
  <r>
    <s v="CUST001"/>
    <s v="Lisa Thomas"/>
    <x v="3"/>
    <x v="3"/>
    <n v="1077.92"/>
    <x v="1"/>
    <n v="0.05"/>
    <x v="7"/>
    <d v="2024-11-12T00:00:00"/>
    <n v="358.41"/>
  </r>
  <r>
    <s v="CUST028"/>
    <s v="Linda Brown"/>
    <x v="2"/>
    <x v="1"/>
    <n v="1163.01"/>
    <x v="16"/>
    <n v="0"/>
    <x v="7"/>
    <d v="2024-11-15T00:00:00"/>
    <n v="581.5"/>
  </r>
  <r>
    <s v="CUST025"/>
    <s v="Lisa Thomas"/>
    <x v="1"/>
    <x v="4"/>
    <n v="1014.56"/>
    <x v="11"/>
    <n v="0.1"/>
    <x v="7"/>
    <d v="2024-11-16T00:00:00"/>
    <n v="410.9"/>
  </r>
  <r>
    <s v="CUST019"/>
    <s v="James Taylor"/>
    <x v="2"/>
    <x v="2"/>
    <n v="718.04"/>
    <x v="8"/>
    <n v="0"/>
    <x v="7"/>
    <d v="2024-11-17T00:00:00"/>
    <n v="179.51"/>
  </r>
  <r>
    <s v="CUST004"/>
    <s v="James Taylor"/>
    <x v="4"/>
    <x v="1"/>
    <n v="1277.8499999999999"/>
    <x v="14"/>
    <n v="0.2"/>
    <x v="7"/>
    <d v="2024-11-17T00:00:00"/>
    <n v="511.14"/>
  </r>
  <r>
    <s v="CUST024"/>
    <s v="James Wilson"/>
    <x v="3"/>
    <x v="2"/>
    <n v="706.73"/>
    <x v="17"/>
    <n v="0.15"/>
    <x v="7"/>
    <d v="2024-11-17T00:00:00"/>
    <n v="150.18"/>
  </r>
  <r>
    <s v="CUST002"/>
    <s v="Linda Brown"/>
    <x v="1"/>
    <x v="2"/>
    <n v="1410.59"/>
    <x v="10"/>
    <n v="0"/>
    <x v="7"/>
    <d v="2024-11-19T00:00:00"/>
    <n v="352.65"/>
  </r>
  <r>
    <s v="CUST009"/>
    <s v="Emma Wilson"/>
    <x v="2"/>
    <x v="3"/>
    <n v="1350.33"/>
    <x v="11"/>
    <n v="0"/>
    <x v="7"/>
    <d v="2024-11-19T00:00:00"/>
    <n v="472.62"/>
  </r>
  <r>
    <s v="CUST029"/>
    <s v="Lisa Thomas"/>
    <x v="1"/>
    <x v="2"/>
    <n v="919.18"/>
    <x v="0"/>
    <n v="0.15"/>
    <x v="7"/>
    <d v="2024-11-19T00:00:00"/>
    <n v="195.33"/>
  </r>
  <r>
    <s v="CUST027"/>
    <s v="James Wilson"/>
    <x v="0"/>
    <x v="2"/>
    <n v="258.51"/>
    <x v="15"/>
    <n v="0"/>
    <x v="7"/>
    <d v="2024-11-20T00:00:00"/>
    <n v="64.63"/>
  </r>
  <r>
    <s v="CUST011"/>
    <s v="Emma Wilson"/>
    <x v="1"/>
    <x v="0"/>
    <n v="1213.48"/>
    <x v="16"/>
    <n v="0.05"/>
    <x v="7"/>
    <d v="2024-11-20T00:00:00"/>
    <n v="461.12"/>
  </r>
  <r>
    <s v="CUST021"/>
    <s v="Emma Davis"/>
    <x v="4"/>
    <x v="0"/>
    <n v="1150.28"/>
    <x v="4"/>
    <n v="0.05"/>
    <x v="7"/>
    <d v="2024-11-26T00:00:00"/>
    <n v="437.11"/>
  </r>
  <r>
    <s v="CUST014"/>
    <s v="David Anderson"/>
    <x v="2"/>
    <x v="3"/>
    <n v="853.86"/>
    <x v="4"/>
    <n v="0.1"/>
    <x v="7"/>
    <d v="2024-11-26T00:00:00"/>
    <n v="268.97000000000003"/>
  </r>
  <r>
    <s v="CUST018"/>
    <s v="Lisa Thomas"/>
    <x v="2"/>
    <x v="2"/>
    <n v="1061.04"/>
    <x v="17"/>
    <n v="0"/>
    <x v="7"/>
    <d v="2024-11-28T00:00:00"/>
    <n v="265.26"/>
  </r>
  <r>
    <s v="CUST001"/>
    <s v="Sarah Anderson"/>
    <x v="0"/>
    <x v="2"/>
    <n v="894.55"/>
    <x v="15"/>
    <n v="0.2"/>
    <x v="7"/>
    <d v="2024-11-29T00:00:00"/>
    <n v="178.91"/>
  </r>
  <r>
    <s v="CUST007"/>
    <s v="Emma Davis"/>
    <x v="3"/>
    <x v="4"/>
    <n v="833.91"/>
    <x v="1"/>
    <n v="0.05"/>
    <x v="7"/>
    <d v="2024-11-30T00:00:00"/>
    <n v="356.5"/>
  </r>
  <r>
    <s v="CUST015"/>
    <s v="David Anderson"/>
    <x v="0"/>
    <x v="3"/>
    <n v="820.19"/>
    <x v="0"/>
    <n v="0.2"/>
    <x v="8"/>
    <d v="2024-12-04T00:00:00"/>
    <n v="229.65"/>
  </r>
  <r>
    <s v="CUST015"/>
    <s v="Emma Davis"/>
    <x v="4"/>
    <x v="2"/>
    <n v="511.74"/>
    <x v="4"/>
    <n v="0.05"/>
    <x v="8"/>
    <d v="2024-12-05T00:00:00"/>
    <n v="121.54"/>
  </r>
  <r>
    <s v="CUST002"/>
    <s v="Emma Wilson"/>
    <x v="2"/>
    <x v="3"/>
    <n v="806.03"/>
    <x v="15"/>
    <n v="0.05"/>
    <x v="8"/>
    <d v="2024-12-12T00:00:00"/>
    <n v="268"/>
  </r>
  <r>
    <s v="CUST001"/>
    <s v="Michael Anderson"/>
    <x v="4"/>
    <x v="3"/>
    <n v="1432.47"/>
    <x v="18"/>
    <n v="0.15"/>
    <x v="8"/>
    <d v="2024-12-14T00:00:00"/>
    <n v="426.16"/>
  </r>
  <r>
    <s v="CUST027"/>
    <s v="Linda Wilson"/>
    <x v="4"/>
    <x v="2"/>
    <n v="1488.58"/>
    <x v="11"/>
    <n v="0.15"/>
    <x v="8"/>
    <d v="2024-12-14T00:00:00"/>
    <n v="316.32"/>
  </r>
  <r>
    <s v="CUST026"/>
    <s v="Emma Taylor"/>
    <x v="1"/>
    <x v="0"/>
    <n v="1231.26"/>
    <x v="13"/>
    <n v="0"/>
    <x v="8"/>
    <d v="2024-12-20T00:00:00"/>
    <n v="492.5"/>
  </r>
  <r>
    <s v="CUST026"/>
    <s v="Sarah Anderson"/>
    <x v="0"/>
    <x v="2"/>
    <n v="1161.67"/>
    <x v="15"/>
    <n v="0.2"/>
    <x v="8"/>
    <d v="2024-12-21T00:00:00"/>
    <n v="232.33"/>
  </r>
  <r>
    <s v="CUST022"/>
    <s v="Lisa Thomas"/>
    <x v="4"/>
    <x v="4"/>
    <n v="388.23"/>
    <x v="18"/>
    <n v="0.05"/>
    <x v="8"/>
    <d v="2024-12-24T00:00:00"/>
    <n v="165.97"/>
  </r>
  <r>
    <s v="CUST004"/>
    <s v="Mary Davis"/>
    <x v="3"/>
    <x v="1"/>
    <n v="1589.42"/>
    <x v="5"/>
    <n v="0.15"/>
    <x v="8"/>
    <d v="2024-12-25T00:00:00"/>
    <n v="675.5"/>
  </r>
  <r>
    <s v="CUST001"/>
    <s v="David Anderson"/>
    <x v="3"/>
    <x v="1"/>
    <n v="336.66"/>
    <x v="12"/>
    <n v="0.2"/>
    <x v="8"/>
    <d v="2024-12-25T00:00:00"/>
    <n v="134.66"/>
  </r>
  <r>
    <s v="CUST022"/>
    <s v="James Wilson"/>
    <x v="0"/>
    <x v="0"/>
    <n v="1353.79"/>
    <x v="8"/>
    <n v="0.1"/>
    <x v="8"/>
    <d v="2024-12-30T00:00:00"/>
    <n v="487.36"/>
  </r>
  <r>
    <s v="CUST011"/>
    <s v="Linda Moore"/>
    <x v="4"/>
    <x v="1"/>
    <n v="662.61"/>
    <x v="6"/>
    <n v="0.05"/>
    <x v="9"/>
    <d v="2025-01-01T00:00:00"/>
    <n v="314.74"/>
  </r>
  <r>
    <s v="CUST028"/>
    <s v="Lisa Davis"/>
    <x v="3"/>
    <x v="4"/>
    <n v="309.42"/>
    <x v="17"/>
    <n v="0.2"/>
    <x v="9"/>
    <d v="2025-01-01T00:00:00"/>
    <n v="111.39"/>
  </r>
  <r>
    <s v="CUST011"/>
    <s v="Linda Wilson"/>
    <x v="3"/>
    <x v="0"/>
    <n v="884.63"/>
    <x v="14"/>
    <n v="0.1"/>
    <x v="9"/>
    <d v="2025-01-02T00:00:00"/>
    <n v="318.47000000000003"/>
  </r>
  <r>
    <s v="CUST028"/>
    <s v="James Wilson"/>
    <x v="4"/>
    <x v="4"/>
    <n v="745.05"/>
    <x v="11"/>
    <n v="0.1"/>
    <x v="9"/>
    <d v="2025-01-03T00:00:00"/>
    <n v="301.75"/>
  </r>
  <r>
    <s v="CUST016"/>
    <s v="James Taylor"/>
    <x v="2"/>
    <x v="1"/>
    <n v="870.23"/>
    <x v="16"/>
    <n v="0.05"/>
    <x v="9"/>
    <d v="2025-01-03T00:00:00"/>
    <n v="413.36"/>
  </r>
  <r>
    <s v="CUST010"/>
    <s v="Linda Wilson"/>
    <x v="0"/>
    <x v="3"/>
    <n v="862.19"/>
    <x v="14"/>
    <n v="0.05"/>
    <x v="9"/>
    <d v="2025-01-06T00:00:00"/>
    <n v="286.68"/>
  </r>
  <r>
    <s v="CUST013"/>
    <s v="Mary Wilson"/>
    <x v="3"/>
    <x v="1"/>
    <n v="1171.18"/>
    <x v="15"/>
    <n v="0.05"/>
    <x v="9"/>
    <d v="2025-01-10T00:00:00"/>
    <n v="556.30999999999995"/>
  </r>
  <r>
    <s v="CUST015"/>
    <s v="Robert Anderson"/>
    <x v="2"/>
    <x v="3"/>
    <n v="1054.56"/>
    <x v="6"/>
    <n v="0.1"/>
    <x v="9"/>
    <d v="2025-01-12T00:00:00"/>
    <n v="332.19"/>
  </r>
  <r>
    <s v="CUST015"/>
    <s v="James Wilson"/>
    <x v="3"/>
    <x v="2"/>
    <n v="1681.21"/>
    <x v="16"/>
    <n v="0.2"/>
    <x v="9"/>
    <d v="2025-01-13T00:00:00"/>
    <n v="336.24"/>
  </r>
  <r>
    <s v="CUST015"/>
    <s v="David Thomas"/>
    <x v="0"/>
    <x v="1"/>
    <n v="379.77"/>
    <x v="13"/>
    <n v="0.05"/>
    <x v="9"/>
    <d v="2025-01-16T00:00:00"/>
    <n v="180.39"/>
  </r>
  <r>
    <s v="CUST008"/>
    <s v="Lisa Thomas"/>
    <x v="4"/>
    <x v="1"/>
    <n v="1076.33"/>
    <x v="7"/>
    <n v="0.1"/>
    <x v="9"/>
    <d v="2025-01-17T00:00:00"/>
    <n v="484.35"/>
  </r>
  <r>
    <s v="CUST008"/>
    <s v="Mary Davis"/>
    <x v="4"/>
    <x v="4"/>
    <n v="1250.71"/>
    <x v="9"/>
    <n v="0"/>
    <x v="9"/>
    <d v="2025-01-17T00:00:00"/>
    <n v="562.82000000000005"/>
  </r>
  <r>
    <s v="CUST023"/>
    <s v="James Taylor"/>
    <x v="2"/>
    <x v="1"/>
    <n v="1118.3399999999999"/>
    <x v="5"/>
    <n v="0.2"/>
    <x v="9"/>
    <d v="2025-01-17T00:00:00"/>
    <n v="447.34"/>
  </r>
  <r>
    <s v="CUST024"/>
    <s v="Linda Taylor"/>
    <x v="3"/>
    <x v="1"/>
    <n v="1622.62"/>
    <x v="3"/>
    <n v="0.2"/>
    <x v="9"/>
    <d v="2025-01-20T00:00:00"/>
    <n v="649.04999999999995"/>
  </r>
  <r>
    <s v="CUST018"/>
    <s v="Lisa Davis"/>
    <x v="3"/>
    <x v="0"/>
    <n v="640.64"/>
    <x v="6"/>
    <n v="0.2"/>
    <x v="9"/>
    <d v="2025-01-21T00:00:00"/>
    <n v="205"/>
  </r>
  <r>
    <s v="CUST030"/>
    <s v="Sarah Anderson"/>
    <x v="0"/>
    <x v="1"/>
    <n v="585.16"/>
    <x v="2"/>
    <n v="0.1"/>
    <x v="9"/>
    <d v="2025-01-27T00:00:00"/>
    <n v="263.32"/>
  </r>
  <r>
    <s v="CUST030"/>
    <s v="Mary Davis"/>
    <x v="1"/>
    <x v="1"/>
    <n v="1109.98"/>
    <x v="16"/>
    <n v="0.2"/>
    <x v="10"/>
    <d v="2025-02-02T00:00:00"/>
    <n v="443.99"/>
  </r>
  <r>
    <s v="CUST015"/>
    <s v="Lisa Thomas"/>
    <x v="1"/>
    <x v="0"/>
    <n v="1098.08"/>
    <x v="13"/>
    <n v="0.1"/>
    <x v="10"/>
    <d v="2025-02-04T00:00:00"/>
    <n v="395.31"/>
  </r>
  <r>
    <s v="CUST002"/>
    <s v="Lisa Davis"/>
    <x v="0"/>
    <x v="4"/>
    <n v="827.25"/>
    <x v="9"/>
    <n v="0.1"/>
    <x v="10"/>
    <d v="2025-02-05T00:00:00"/>
    <n v="335.04"/>
  </r>
  <r>
    <s v="CUST024"/>
    <s v="Linda Wilson"/>
    <x v="4"/>
    <x v="1"/>
    <n v="741.88"/>
    <x v="18"/>
    <n v="0.1"/>
    <x v="10"/>
    <d v="2025-02-07T00:00:00"/>
    <n v="333.85"/>
  </r>
  <r>
    <s v="CUST004"/>
    <s v="James Davis"/>
    <x v="1"/>
    <x v="4"/>
    <n v="1311.26"/>
    <x v="5"/>
    <n v="0.1"/>
    <x v="10"/>
    <d v="2025-02-10T00:00:00"/>
    <n v="531.05999999999995"/>
  </r>
  <r>
    <s v="CUST004"/>
    <s v="Mary Davis"/>
    <x v="2"/>
    <x v="4"/>
    <n v="573.32000000000005"/>
    <x v="15"/>
    <n v="0.1"/>
    <x v="10"/>
    <d v="2025-02-15T00:00:00"/>
    <n v="232.19"/>
  </r>
  <r>
    <s v="CUST028"/>
    <s v="James Wilson"/>
    <x v="0"/>
    <x v="2"/>
    <n v="1115.22"/>
    <x v="8"/>
    <n v="0.2"/>
    <x v="10"/>
    <d v="2025-02-17T00:00:00"/>
    <n v="223.04"/>
  </r>
  <r>
    <s v="CUST012"/>
    <s v="Lisa Thomas"/>
    <x v="3"/>
    <x v="1"/>
    <n v="845.84"/>
    <x v="0"/>
    <n v="0"/>
    <x v="10"/>
    <d v="2025-02-19T00:00:00"/>
    <n v="422.92"/>
  </r>
  <r>
    <s v="CUST026"/>
    <s v="David Brown"/>
    <x v="0"/>
    <x v="2"/>
    <n v="1029.8"/>
    <x v="1"/>
    <n v="0"/>
    <x v="10"/>
    <d v="2025-02-20T00:00:00"/>
    <n v="257.45"/>
  </r>
  <r>
    <s v="CUST009"/>
    <s v="Mary Davis"/>
    <x v="3"/>
    <x v="0"/>
    <n v="1189.83"/>
    <x v="7"/>
    <n v="0.2"/>
    <x v="10"/>
    <d v="2025-02-21T00:00:00"/>
    <n v="380.75"/>
  </r>
  <r>
    <s v="CUST003"/>
    <s v="Sarah Anderson"/>
    <x v="2"/>
    <x v="0"/>
    <n v="704.28"/>
    <x v="10"/>
    <n v="0.2"/>
    <x v="10"/>
    <d v="2025-02-24T00:00:00"/>
    <n v="225.37"/>
  </r>
  <r>
    <s v="CUST002"/>
    <s v="Mary Jackson"/>
    <x v="4"/>
    <x v="4"/>
    <n v="1618.22"/>
    <x v="3"/>
    <n v="0.2"/>
    <x v="10"/>
    <d v="2025-02-24T00:00:00"/>
    <n v="582.55999999999995"/>
  </r>
  <r>
    <s v="CUST013"/>
    <s v="Linda Taylor"/>
    <x v="4"/>
    <x v="0"/>
    <n v="1014.43"/>
    <x v="7"/>
    <n v="0.15"/>
    <x v="10"/>
    <d v="2025-02-25T00:00:00"/>
    <n v="344.91"/>
  </r>
  <r>
    <s v="CUST018"/>
    <s v="Mary Davis"/>
    <x v="4"/>
    <x v="1"/>
    <n v="826.97"/>
    <x v="14"/>
    <n v="0.2"/>
    <x v="10"/>
    <d v="2025-02-27T00:00:00"/>
    <n v="330.79"/>
  </r>
  <r>
    <s v="CUST017"/>
    <s v="Mary Davis"/>
    <x v="4"/>
    <x v="1"/>
    <n v="1022.23"/>
    <x v="4"/>
    <n v="0.1"/>
    <x v="11"/>
    <d v="2025-03-01T00:00:00"/>
    <n v="460"/>
  </r>
  <r>
    <s v="CUST004"/>
    <s v="Linda Wilson"/>
    <x v="1"/>
    <x v="0"/>
    <n v="1099.69"/>
    <x v="5"/>
    <n v="0"/>
    <x v="11"/>
    <d v="2025-03-02T00:00:00"/>
    <n v="439.88"/>
  </r>
  <r>
    <s v="CUST028"/>
    <s v="Sarah Davis"/>
    <x v="3"/>
    <x v="0"/>
    <n v="710.52"/>
    <x v="4"/>
    <n v="0.1"/>
    <x v="11"/>
    <d v="2025-03-05T00:00:00"/>
    <n v="255.79"/>
  </r>
  <r>
    <s v="CUST028"/>
    <s v="Mary Wilson"/>
    <x v="3"/>
    <x v="0"/>
    <n v="499.18"/>
    <x v="10"/>
    <n v="0.2"/>
    <x v="11"/>
    <d v="2025-03-08T00:00:00"/>
    <n v="159.74"/>
  </r>
  <r>
    <s v="CUST014"/>
    <s v="Emma Davis"/>
    <x v="2"/>
    <x v="0"/>
    <n v="1064.19"/>
    <x v="14"/>
    <n v="0.05"/>
    <x v="11"/>
    <d v="2025-03-09T00:00:00"/>
    <n v="404.39"/>
  </r>
  <r>
    <s v="CUST003"/>
    <s v="Emma Davis"/>
    <x v="1"/>
    <x v="4"/>
    <n v="438.76"/>
    <x v="14"/>
    <n v="0.05"/>
    <x v="11"/>
    <d v="2025-03-10T00:00:00"/>
    <n v="187.57"/>
  </r>
  <r>
    <s v="CUST029"/>
    <s v="David Brown"/>
    <x v="0"/>
    <x v="1"/>
    <n v="864.98"/>
    <x v="7"/>
    <n v="0.05"/>
    <x v="11"/>
    <d v="2025-03-11T00:00:00"/>
    <n v="410.87"/>
  </r>
  <r>
    <s v="CUST021"/>
    <s v="David Brown"/>
    <x v="0"/>
    <x v="3"/>
    <n v="984.93"/>
    <x v="8"/>
    <n v="0.2"/>
    <x v="11"/>
    <d v="2025-03-17T00:00:00"/>
    <n v="275.77999999999997"/>
  </r>
  <r>
    <s v="CUST007"/>
    <s v="David Brown"/>
    <x v="0"/>
    <x v="1"/>
    <n v="1493.49"/>
    <x v="14"/>
    <n v="0"/>
    <x v="11"/>
    <d v="2025-03-18T00:00:00"/>
    <n v="746.74"/>
  </r>
  <r>
    <s v="CUST009"/>
    <s v="Linda Taylor"/>
    <x v="2"/>
    <x v="1"/>
    <n v="689.43"/>
    <x v="13"/>
    <n v="0.1"/>
    <x v="11"/>
    <d v="2025-03-20T00:00:00"/>
    <n v="310.24"/>
  </r>
  <r>
    <s v="CUST023"/>
    <s v="Mary Wilson"/>
    <x v="2"/>
    <x v="1"/>
    <n v="682.24"/>
    <x v="17"/>
    <n v="0"/>
    <x v="11"/>
    <d v="2025-03-22T00:00:00"/>
    <n v="341.12"/>
  </r>
  <r>
    <s v="CUST029"/>
    <s v="Michael Anderson"/>
    <x v="3"/>
    <x v="2"/>
    <n v="458.54"/>
    <x v="10"/>
    <n v="0.2"/>
    <x v="11"/>
    <d v="2025-03-25T00:00:00"/>
    <n v="91.71"/>
  </r>
  <r>
    <s v="CUST009"/>
    <s v="Michael Anderson"/>
    <x v="2"/>
    <x v="3"/>
    <n v="1184.25"/>
    <x v="6"/>
    <n v="0.2"/>
    <x v="11"/>
    <d v="2025-03-26T00:00:00"/>
    <n v="331.59"/>
  </r>
  <r>
    <s v="CUST007"/>
    <s v="James Davis"/>
    <x v="2"/>
    <x v="1"/>
    <n v="762.14"/>
    <x v="13"/>
    <n v="0"/>
    <x v="11"/>
    <d v="2025-03-27T00:00:00"/>
    <n v="381.07"/>
  </r>
  <r>
    <s v="CUST030"/>
    <s v="Linda Taylor"/>
    <x v="3"/>
    <x v="0"/>
    <n v="750.71"/>
    <x v="11"/>
    <n v="0.15"/>
    <x v="11"/>
    <d v="2025-03-27T00:00:00"/>
    <n v="255.24"/>
  </r>
  <r>
    <s v="CUST018"/>
    <s v="David Anderson"/>
    <x v="4"/>
    <x v="1"/>
    <n v="1456.94"/>
    <x v="8"/>
    <n v="0.05"/>
    <x v="11"/>
    <d v="2025-03-29T00:00:00"/>
    <n v="692.05"/>
  </r>
  <r>
    <s v="CUST008"/>
    <s v="Emma Wilson"/>
    <x v="1"/>
    <x v="3"/>
    <n v="1093.3800000000001"/>
    <x v="2"/>
    <n v="0.1"/>
    <x v="11"/>
    <d v="2025-03-29T00:00:00"/>
    <n v="344.41"/>
  </r>
  <r>
    <s v="CUST014"/>
    <s v="Sarah Anderson"/>
    <x v="0"/>
    <x v="1"/>
    <n v="934.27"/>
    <x v="4"/>
    <n v="0.15"/>
    <x v="11"/>
    <d v="2025-03-30T00:00:00"/>
    <n v="397.06"/>
  </r>
  <r>
    <s v="CUST024"/>
    <s v="David Thomas"/>
    <x v="4"/>
    <x v="1"/>
    <n v="1465.35"/>
    <x v="4"/>
    <n v="0.2"/>
    <x v="11"/>
    <d v="2025-03-30T00:00:00"/>
    <n v="586.14"/>
  </r>
  <r>
    <s v="CUST028"/>
    <s v="Robert Anderson"/>
    <x v="2"/>
    <x v="4"/>
    <n v="740.8"/>
    <x v="1"/>
    <n v="0"/>
    <x v="0"/>
    <d v="2025-04-02T00:00:00"/>
    <n v="333.36"/>
  </r>
  <r>
    <s v="CUST015"/>
    <s v="Sarah Anderson"/>
    <x v="0"/>
    <x v="4"/>
    <n v="545.44000000000005"/>
    <x v="2"/>
    <n v="0"/>
    <x v="0"/>
    <d v="2025-04-05T00:00:00"/>
    <n v="245.45"/>
  </r>
  <r>
    <s v="CUST010"/>
    <s v="David Thomas"/>
    <x v="1"/>
    <x v="0"/>
    <n v="997.61"/>
    <x v="4"/>
    <n v="0.05"/>
    <x v="0"/>
    <d v="2025-04-05T00:00:00"/>
    <n v="379.09"/>
  </r>
  <r>
    <s v="CUST016"/>
    <s v="David Thomas"/>
    <x v="2"/>
    <x v="1"/>
    <n v="928.32"/>
    <x v="7"/>
    <n v="0.05"/>
    <x v="0"/>
    <d v="2025-04-07T00:00:00"/>
    <n v="440.95"/>
  </r>
  <r>
    <m/>
    <m/>
    <x v="5"/>
    <x v="5"/>
    <m/>
    <x v="19"/>
    <m/>
    <x v="12"/>
    <m/>
    <m/>
  </r>
  <r>
    <m/>
    <m/>
    <x v="5"/>
    <x v="5"/>
    <m/>
    <x v="19"/>
    <m/>
    <x v="12"/>
    <m/>
    <m/>
  </r>
  <r>
    <m/>
    <m/>
    <x v="5"/>
    <x v="5"/>
    <m/>
    <x v="19"/>
    <m/>
    <x v="12"/>
    <m/>
    <m/>
  </r>
  <r>
    <m/>
    <m/>
    <x v="5"/>
    <x v="5"/>
    <m/>
    <x v="19"/>
    <m/>
    <x v="12"/>
    <m/>
    <m/>
  </r>
  <r>
    <m/>
    <m/>
    <x v="5"/>
    <x v="5"/>
    <m/>
    <x v="19"/>
    <m/>
    <x v="12"/>
    <m/>
    <m/>
  </r>
  <r>
    <m/>
    <m/>
    <x v="5"/>
    <x v="5"/>
    <m/>
    <x v="19"/>
    <m/>
    <x v="12"/>
    <m/>
    <m/>
  </r>
  <r>
    <m/>
    <m/>
    <x v="5"/>
    <x v="5"/>
    <m/>
    <x v="19"/>
    <m/>
    <x v="12"/>
    <m/>
    <m/>
  </r>
  <r>
    <m/>
    <m/>
    <x v="5"/>
    <x v="5"/>
    <m/>
    <x v="19"/>
    <m/>
    <x v="12"/>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2FD21D8-3CF0-4B04-A357-D127E9F15924}"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H11" firstHeaderRow="1" firstDataRow="2" firstDataCol="1"/>
  <pivotFields count="10">
    <pivotField compact="0" outline="0" showAll="0"/>
    <pivotField compact="0" outline="0" showAll="0"/>
    <pivotField axis="axisRow" compact="0" outline="0" showAll="0">
      <items count="7">
        <item x="4"/>
        <item x="1"/>
        <item x="3"/>
        <item x="2"/>
        <item x="0"/>
        <item x="5"/>
        <item t="default"/>
      </items>
    </pivotField>
    <pivotField axis="axisCol" compact="0" outline="0" showAll="0">
      <items count="7">
        <item x="0"/>
        <item x="1"/>
        <item x="2"/>
        <item x="3"/>
        <item x="4"/>
        <item x="5"/>
        <item t="default"/>
      </items>
    </pivotField>
    <pivotField dataField="1" compact="0" outline="0" showAll="0"/>
    <pivotField compact="0" outline="0" showAll="0"/>
    <pivotField compact="0" outline="0" showAll="0"/>
    <pivotField compact="0" outline="0" showAll="0"/>
    <pivotField compact="0" outline="0" showAll="0"/>
    <pivotField compact="0" outline="0" showAll="0"/>
  </pivotFields>
  <rowFields count="1">
    <field x="2"/>
  </rowFields>
  <rowItems count="7">
    <i>
      <x/>
    </i>
    <i>
      <x v="1"/>
    </i>
    <i>
      <x v="2"/>
    </i>
    <i>
      <x v="3"/>
    </i>
    <i>
      <x v="4"/>
    </i>
    <i>
      <x v="5"/>
    </i>
    <i t="grand">
      <x/>
    </i>
  </rowItems>
  <colFields count="1">
    <field x="3"/>
  </colFields>
  <colItems count="7">
    <i>
      <x/>
    </i>
    <i>
      <x v="1"/>
    </i>
    <i>
      <x v="2"/>
    </i>
    <i>
      <x v="3"/>
    </i>
    <i>
      <x v="4"/>
    </i>
    <i>
      <x v="5"/>
    </i>
    <i t="grand">
      <x/>
    </i>
  </colItems>
  <dataFields count="1">
    <dataField name="Sum of Sale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9AFC848-DC29-46AE-9B29-569971539D34}"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6">
  <location ref="A3:B10" firstHeaderRow="1" firstDataRow="1" firstDataCol="1"/>
  <pivotFields count="10">
    <pivotField compact="0" outline="0" showAll="0"/>
    <pivotField compact="0" outline="0" showAll="0"/>
    <pivotField compact="0" outline="0" showAll="0"/>
    <pivotField axis="axisRow" compact="0" outline="0" showAll="0">
      <items count="7">
        <item x="0"/>
        <item x="1"/>
        <item x="2"/>
        <item x="3"/>
        <item x="4"/>
        <item x="5"/>
        <item t="default"/>
      </items>
    </pivotField>
    <pivotField dataField="1" compact="0" outline="0" showAll="0"/>
    <pivotField compact="0" outline="0" showAll="0"/>
    <pivotField compact="0" outline="0" showAll="0"/>
    <pivotField compact="0" outline="0" showAll="0"/>
    <pivotField compact="0" outline="0" showAll="0"/>
    <pivotField compact="0" outline="0" showAll="0"/>
  </pivotFields>
  <rowFields count="1">
    <field x="3"/>
  </rowFields>
  <rowItems count="7">
    <i>
      <x/>
    </i>
    <i>
      <x v="1"/>
    </i>
    <i>
      <x v="2"/>
    </i>
    <i>
      <x v="3"/>
    </i>
    <i>
      <x v="4"/>
    </i>
    <i>
      <x v="5"/>
    </i>
    <i t="grand">
      <x/>
    </i>
  </rowItems>
  <colItems count="1">
    <i/>
  </colItems>
  <dataFields count="1">
    <dataField name="Sum of Sales" fld="4" baseField="0" baseItem="0"/>
  </dataFields>
  <chartFormats count="4">
    <chartFormat chart="0" format="201"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D4F197F-E05A-4709-A52B-9B73FF13E821}" name="PivotTable4"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1">
  <location ref="A3:B10" firstHeaderRow="1" firstDataRow="1" firstDataCol="1"/>
  <pivotFields count="10">
    <pivotField compact="0" outline="0" showAll="0"/>
    <pivotField compact="0" outline="0" showAll="0"/>
    <pivotField compact="0" outline="0" showAll="0"/>
    <pivotField axis="axisRow" compact="0" outline="0" showAll="0">
      <items count="7">
        <item x="0"/>
        <item x="1"/>
        <item x="2"/>
        <item x="3"/>
        <item x="4"/>
        <item x="5"/>
        <item t="default"/>
      </items>
    </pivotField>
    <pivotField compact="0" outline="0" showAll="0"/>
    <pivotField compact="0" outline="0" showAll="0"/>
    <pivotField compact="0" outline="0" showAll="0"/>
    <pivotField dataField="1" compact="0" outline="0" showAll="0">
      <items count="14">
        <item x="9"/>
        <item x="10"/>
        <item x="11"/>
        <item x="0"/>
        <item x="1"/>
        <item x="2"/>
        <item x="3"/>
        <item x="4"/>
        <item x="5"/>
        <item x="6"/>
        <item x="7"/>
        <item x="8"/>
        <item x="12"/>
        <item t="default"/>
      </items>
    </pivotField>
    <pivotField compact="0" outline="0" showAll="0"/>
    <pivotField compact="0" outline="0" showAll="0"/>
  </pivotFields>
  <rowFields count="1">
    <field x="3"/>
  </rowFields>
  <rowItems count="7">
    <i>
      <x/>
    </i>
    <i>
      <x v="1"/>
    </i>
    <i>
      <x v="2"/>
    </i>
    <i>
      <x v="3"/>
    </i>
    <i>
      <x v="4"/>
    </i>
    <i>
      <x v="5"/>
    </i>
    <i t="grand">
      <x/>
    </i>
  </rowItems>
  <colItems count="1">
    <i/>
  </colItems>
  <dataFields count="1">
    <dataField name="Sum of Month" fld="7" baseField="0" baseItem="0"/>
  </dataFields>
  <chartFormats count="2">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Medium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A3647AA-27E3-43DE-A89B-E282BC00EFB3}" name="PivotTable5"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A3:B10" firstHeaderRow="1" firstDataRow="1" firstDataCol="1"/>
  <pivotFields count="10">
    <pivotField compact="0" outline="0" showAll="0"/>
    <pivotField compact="0" outline="0" showAll="0"/>
    <pivotField axis="axisRow" compact="0" outline="0" showAll="0">
      <items count="7">
        <item x="4"/>
        <item x="1"/>
        <item x="3"/>
        <item x="2"/>
        <item x="0"/>
        <item x="5"/>
        <item t="default"/>
      </items>
    </pivotField>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s>
  <rowFields count="1">
    <field x="2"/>
  </rowFields>
  <rowItems count="7">
    <i>
      <x/>
    </i>
    <i>
      <x v="1"/>
    </i>
    <i>
      <x v="2"/>
    </i>
    <i>
      <x v="3"/>
    </i>
    <i>
      <x v="4"/>
    </i>
    <i>
      <x v="5"/>
    </i>
    <i t="grand">
      <x/>
    </i>
  </rowItems>
  <colItems count="1">
    <i/>
  </colItems>
  <dataFields count="1">
    <dataField name="Sum of Sales" fld="4" baseField="0" baseItem="0"/>
  </dataFields>
  <chartFormats count="21">
    <chartFormat chart="5"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8" format="2">
      <pivotArea type="data" outline="0" fieldPosition="0">
        <references count="2">
          <reference field="4294967294" count="1" selected="0">
            <x v="0"/>
          </reference>
          <reference field="2" count="1" selected="0">
            <x v="0"/>
          </reference>
        </references>
      </pivotArea>
    </chartFormat>
    <chartFormat chart="8" format="3">
      <pivotArea type="data" outline="0" fieldPosition="0">
        <references count="2">
          <reference field="4294967294" count="1" selected="0">
            <x v="0"/>
          </reference>
          <reference field="2" count="1" selected="0">
            <x v="1"/>
          </reference>
        </references>
      </pivotArea>
    </chartFormat>
    <chartFormat chart="8" format="4">
      <pivotArea type="data" outline="0" fieldPosition="0">
        <references count="2">
          <reference field="4294967294" count="1" selected="0">
            <x v="0"/>
          </reference>
          <reference field="2" count="1" selected="0">
            <x v="2"/>
          </reference>
        </references>
      </pivotArea>
    </chartFormat>
    <chartFormat chart="8" format="5">
      <pivotArea type="data" outline="0" fieldPosition="0">
        <references count="2">
          <reference field="4294967294" count="1" selected="0">
            <x v="0"/>
          </reference>
          <reference field="2" count="1" selected="0">
            <x v="3"/>
          </reference>
        </references>
      </pivotArea>
    </chartFormat>
    <chartFormat chart="8" format="6">
      <pivotArea type="data" outline="0" fieldPosition="0">
        <references count="2">
          <reference field="4294967294" count="1" selected="0">
            <x v="0"/>
          </reference>
          <reference field="2" count="1" selected="0">
            <x v="4"/>
          </reference>
        </references>
      </pivotArea>
    </chartFormat>
    <chartFormat chart="8" format="7">
      <pivotArea type="data" outline="0" fieldPosition="0">
        <references count="2">
          <reference field="4294967294" count="1" selected="0">
            <x v="0"/>
          </reference>
          <reference field="2" count="1" selected="0">
            <x v="5"/>
          </reference>
        </references>
      </pivotArea>
    </chartFormat>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2" count="1" selected="0">
            <x v="0"/>
          </reference>
        </references>
      </pivotArea>
    </chartFormat>
    <chartFormat chart="9" format="10">
      <pivotArea type="data" outline="0" fieldPosition="0">
        <references count="2">
          <reference field="4294967294" count="1" selected="0">
            <x v="0"/>
          </reference>
          <reference field="2" count="1" selected="0">
            <x v="1"/>
          </reference>
        </references>
      </pivotArea>
    </chartFormat>
    <chartFormat chart="9" format="11">
      <pivotArea type="data" outline="0" fieldPosition="0">
        <references count="2">
          <reference field="4294967294" count="1" selected="0">
            <x v="0"/>
          </reference>
          <reference field="2" count="1" selected="0">
            <x v="2"/>
          </reference>
        </references>
      </pivotArea>
    </chartFormat>
    <chartFormat chart="9" format="12">
      <pivotArea type="data" outline="0" fieldPosition="0">
        <references count="2">
          <reference field="4294967294" count="1" selected="0">
            <x v="0"/>
          </reference>
          <reference field="2" count="1" selected="0">
            <x v="3"/>
          </reference>
        </references>
      </pivotArea>
    </chartFormat>
    <chartFormat chart="9" format="13">
      <pivotArea type="data" outline="0" fieldPosition="0">
        <references count="2">
          <reference field="4294967294" count="1" selected="0">
            <x v="0"/>
          </reference>
          <reference field="2" count="1" selected="0">
            <x v="4"/>
          </reference>
        </references>
      </pivotArea>
    </chartFormat>
    <chartFormat chart="9" format="14">
      <pivotArea type="data" outline="0" fieldPosition="0">
        <references count="2">
          <reference field="4294967294" count="1" selected="0">
            <x v="0"/>
          </reference>
          <reference field="2" count="1" selected="0">
            <x v="5"/>
          </reference>
        </references>
      </pivotArea>
    </chartFormat>
    <chartFormat chart="5" format="1">
      <pivotArea type="data" outline="0" fieldPosition="0">
        <references count="2">
          <reference field="4294967294" count="1" selected="0">
            <x v="0"/>
          </reference>
          <reference field="2" count="1" selected="0">
            <x v="0"/>
          </reference>
        </references>
      </pivotArea>
    </chartFormat>
    <chartFormat chart="5" format="2">
      <pivotArea type="data" outline="0" fieldPosition="0">
        <references count="2">
          <reference field="4294967294" count="1" selected="0">
            <x v="0"/>
          </reference>
          <reference field="2" count="1" selected="0">
            <x v="1"/>
          </reference>
        </references>
      </pivotArea>
    </chartFormat>
    <chartFormat chart="5" format="3">
      <pivotArea type="data" outline="0" fieldPosition="0">
        <references count="2">
          <reference field="4294967294" count="1" selected="0">
            <x v="0"/>
          </reference>
          <reference field="2" count="1" selected="0">
            <x v="2"/>
          </reference>
        </references>
      </pivotArea>
    </chartFormat>
    <chartFormat chart="5" format="4">
      <pivotArea type="data" outline="0" fieldPosition="0">
        <references count="2">
          <reference field="4294967294" count="1" selected="0">
            <x v="0"/>
          </reference>
          <reference field="2" count="1" selected="0">
            <x v="3"/>
          </reference>
        </references>
      </pivotArea>
    </chartFormat>
    <chartFormat chart="5" format="5">
      <pivotArea type="data" outline="0" fieldPosition="0">
        <references count="2">
          <reference field="4294967294" count="1" selected="0">
            <x v="0"/>
          </reference>
          <reference field="2" count="1" selected="0">
            <x v="4"/>
          </reference>
        </references>
      </pivotArea>
    </chartFormat>
    <chartFormat chart="5" format="6">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47"/>
  <sheetViews>
    <sheetView workbookViewId="0"/>
  </sheetViews>
  <sheetFormatPr defaultColWidth="14.44140625" defaultRowHeight="15" customHeight="1" x14ac:dyDescent="0.3"/>
  <cols>
    <col min="1" max="1" width="74.88671875" customWidth="1"/>
    <col min="2" max="26" width="8.6640625" customWidth="1"/>
  </cols>
  <sheetData>
    <row r="1" spans="1:26" ht="14.4" x14ac:dyDescent="0.3">
      <c r="A1" s="1" t="s">
        <v>0</v>
      </c>
      <c r="B1" s="2"/>
      <c r="C1" s="2"/>
      <c r="D1" s="2"/>
      <c r="E1" s="2"/>
      <c r="F1" s="2"/>
      <c r="G1" s="2"/>
      <c r="H1" s="2"/>
      <c r="I1" s="2"/>
      <c r="J1" s="2"/>
      <c r="K1" s="2"/>
      <c r="L1" s="2"/>
      <c r="M1" s="2"/>
      <c r="N1" s="2"/>
      <c r="O1" s="2"/>
      <c r="P1" s="2"/>
      <c r="Q1" s="2"/>
      <c r="R1" s="2"/>
      <c r="S1" s="2"/>
      <c r="T1" s="2"/>
      <c r="U1" s="2"/>
      <c r="V1" s="2"/>
      <c r="W1" s="2"/>
      <c r="X1" s="2"/>
      <c r="Y1" s="2"/>
      <c r="Z1" s="2"/>
    </row>
    <row r="2" spans="1:26" ht="14.4" x14ac:dyDescent="0.3">
      <c r="A2" s="3" t="s">
        <v>1</v>
      </c>
      <c r="B2" s="2"/>
      <c r="C2" s="2"/>
      <c r="D2" s="2"/>
      <c r="E2" s="2"/>
      <c r="F2" s="2"/>
      <c r="G2" s="2"/>
      <c r="H2" s="2"/>
      <c r="I2" s="2"/>
      <c r="J2" s="2"/>
      <c r="K2" s="2"/>
      <c r="L2" s="2"/>
      <c r="M2" s="2"/>
      <c r="N2" s="2"/>
      <c r="O2" s="2"/>
      <c r="P2" s="2"/>
      <c r="Q2" s="2"/>
      <c r="R2" s="2"/>
      <c r="S2" s="2"/>
      <c r="T2" s="2"/>
      <c r="U2" s="2"/>
      <c r="V2" s="2"/>
      <c r="W2" s="2"/>
      <c r="X2" s="2"/>
      <c r="Y2" s="2"/>
      <c r="Z2" s="2"/>
    </row>
    <row r="3" spans="1:26" ht="14.4" x14ac:dyDescent="0.3">
      <c r="A3" s="2"/>
      <c r="B3" s="2"/>
      <c r="C3" s="2"/>
      <c r="D3" s="2"/>
      <c r="E3" s="2"/>
      <c r="F3" s="2"/>
      <c r="G3" s="2"/>
      <c r="H3" s="2"/>
      <c r="I3" s="2"/>
      <c r="J3" s="2"/>
      <c r="K3" s="2"/>
      <c r="L3" s="2"/>
      <c r="M3" s="2"/>
      <c r="N3" s="2"/>
      <c r="O3" s="2"/>
      <c r="P3" s="2"/>
      <c r="Q3" s="2"/>
      <c r="R3" s="2"/>
      <c r="S3" s="2"/>
      <c r="T3" s="2"/>
      <c r="U3" s="2"/>
      <c r="V3" s="2"/>
      <c r="W3" s="2"/>
      <c r="X3" s="2"/>
      <c r="Y3" s="2"/>
      <c r="Z3" s="2"/>
    </row>
    <row r="4" spans="1:26" ht="15.75" customHeight="1" x14ac:dyDescent="0.3">
      <c r="A4" s="2"/>
      <c r="B4" s="2"/>
      <c r="C4" s="2"/>
      <c r="D4" s="2"/>
      <c r="E4" s="2"/>
      <c r="F4" s="2"/>
      <c r="G4" s="2"/>
      <c r="H4" s="2"/>
      <c r="I4" s="2"/>
      <c r="J4" s="2"/>
      <c r="K4" s="2"/>
      <c r="L4" s="2"/>
      <c r="M4" s="2"/>
      <c r="N4" s="2"/>
      <c r="O4" s="2"/>
      <c r="P4" s="2"/>
      <c r="Q4" s="2"/>
      <c r="R4" s="2"/>
      <c r="S4" s="2"/>
      <c r="T4" s="2"/>
      <c r="U4" s="2"/>
      <c r="V4" s="2"/>
      <c r="W4" s="2"/>
      <c r="X4" s="2"/>
      <c r="Y4" s="2"/>
      <c r="Z4" s="2"/>
    </row>
    <row r="5" spans="1:26" ht="15.75" customHeight="1" x14ac:dyDescent="0.3">
      <c r="A5" s="2"/>
      <c r="B5" s="2"/>
      <c r="C5" s="2"/>
      <c r="D5" s="2"/>
      <c r="E5" s="2"/>
      <c r="F5" s="2"/>
      <c r="G5" s="2"/>
      <c r="H5" s="2"/>
      <c r="I5" s="2"/>
      <c r="J5" s="2"/>
      <c r="K5" s="2"/>
      <c r="L5" s="2"/>
      <c r="M5" s="2"/>
      <c r="N5" s="2"/>
      <c r="O5" s="2"/>
      <c r="P5" s="2"/>
      <c r="Q5" s="2"/>
      <c r="R5" s="2"/>
      <c r="S5" s="2"/>
      <c r="T5" s="2"/>
      <c r="U5" s="2"/>
      <c r="V5" s="2"/>
      <c r="W5" s="2"/>
      <c r="X5" s="2"/>
      <c r="Y5" s="2"/>
      <c r="Z5" s="2"/>
    </row>
    <row r="6" spans="1:26" ht="15.75" customHeight="1" x14ac:dyDescent="0.3">
      <c r="A6" s="2"/>
      <c r="B6" s="2"/>
      <c r="C6" s="2"/>
      <c r="D6" s="2"/>
      <c r="E6" s="2"/>
      <c r="F6" s="2"/>
      <c r="G6" s="2"/>
      <c r="H6" s="2"/>
      <c r="I6" s="2"/>
      <c r="J6" s="2"/>
      <c r="K6" s="2"/>
      <c r="L6" s="2"/>
      <c r="M6" s="2"/>
      <c r="N6" s="2"/>
      <c r="O6" s="2"/>
      <c r="P6" s="2"/>
      <c r="Q6" s="2"/>
      <c r="R6" s="2"/>
      <c r="S6" s="2"/>
      <c r="T6" s="2"/>
      <c r="U6" s="2"/>
      <c r="V6" s="2"/>
      <c r="W6" s="2"/>
      <c r="X6" s="2"/>
      <c r="Y6" s="2"/>
      <c r="Z6" s="2"/>
    </row>
    <row r="7" spans="1:26" ht="15.75" customHeight="1" x14ac:dyDescent="0.3">
      <c r="A7" s="2"/>
      <c r="B7" s="2"/>
      <c r="C7" s="2"/>
      <c r="D7" s="2"/>
      <c r="E7" s="2"/>
      <c r="F7" s="2"/>
      <c r="G7" s="2"/>
      <c r="H7" s="2"/>
      <c r="I7" s="2"/>
      <c r="J7" s="2"/>
      <c r="K7" s="2"/>
      <c r="L7" s="2"/>
      <c r="M7" s="2"/>
      <c r="N7" s="2"/>
      <c r="O7" s="2"/>
      <c r="P7" s="2"/>
      <c r="Q7" s="2"/>
      <c r="R7" s="2"/>
      <c r="S7" s="2"/>
      <c r="T7" s="2"/>
      <c r="U7" s="2"/>
      <c r="V7" s="2"/>
      <c r="W7" s="2"/>
      <c r="X7" s="2"/>
      <c r="Y7" s="2"/>
      <c r="Z7" s="2"/>
    </row>
    <row r="8" spans="1:26" ht="15.75" customHeight="1" x14ac:dyDescent="0.3">
      <c r="A8" s="2"/>
      <c r="B8" s="2"/>
      <c r="C8" s="2"/>
      <c r="D8" s="2"/>
      <c r="E8" s="2"/>
      <c r="F8" s="2"/>
      <c r="G8" s="2"/>
      <c r="H8" s="2"/>
      <c r="I8" s="2"/>
      <c r="J8" s="2"/>
      <c r="K8" s="2"/>
      <c r="L8" s="2"/>
      <c r="M8" s="2"/>
      <c r="N8" s="2"/>
      <c r="O8" s="2"/>
      <c r="P8" s="2"/>
      <c r="Q8" s="2"/>
      <c r="R8" s="2"/>
      <c r="S8" s="2"/>
      <c r="T8" s="2"/>
      <c r="U8" s="2"/>
      <c r="V8" s="2"/>
      <c r="W8" s="2"/>
      <c r="X8" s="2"/>
      <c r="Y8" s="2"/>
      <c r="Z8" s="2"/>
    </row>
    <row r="9" spans="1:26" ht="15.75" customHeight="1" x14ac:dyDescent="0.3">
      <c r="A9" s="2"/>
      <c r="B9" s="2"/>
      <c r="C9" s="2"/>
      <c r="D9" s="2"/>
      <c r="E9" s="2"/>
      <c r="F9" s="2"/>
      <c r="G9" s="2"/>
      <c r="H9" s="2"/>
      <c r="I9" s="2"/>
      <c r="J9" s="2"/>
      <c r="K9" s="2"/>
      <c r="L9" s="2"/>
      <c r="M9" s="2"/>
      <c r="N9" s="2"/>
      <c r="O9" s="2"/>
      <c r="P9" s="2"/>
      <c r="Q9" s="2"/>
      <c r="R9" s="2"/>
      <c r="S9" s="2"/>
      <c r="T9" s="2"/>
      <c r="U9" s="2"/>
      <c r="V9" s="2"/>
      <c r="W9" s="2"/>
      <c r="X9" s="2"/>
      <c r="Y9" s="2"/>
      <c r="Z9" s="2"/>
    </row>
    <row r="10" spans="1:26" ht="15.75" customHeight="1" x14ac:dyDescent="0.3">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ht="15.75" customHeight="1" x14ac:dyDescent="0.3">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ht="15.75" customHeight="1" x14ac:dyDescent="0.3">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5.75" customHeight="1" x14ac:dyDescent="0.3">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5.75" customHeight="1" x14ac:dyDescent="0.3">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5.75" customHeight="1" x14ac:dyDescent="0.3">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5.75" customHeight="1" x14ac:dyDescent="0.3">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5.75" customHeight="1" x14ac:dyDescent="0.3">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5.75" customHeight="1" x14ac:dyDescent="0.3">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5.75" customHeight="1" x14ac:dyDescent="0.3">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5.75" customHeight="1" x14ac:dyDescent="0.3">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x14ac:dyDescent="0.3">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3">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3">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3">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3">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3">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3">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3">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3">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3">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3">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3">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3">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3">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3">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3">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3">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3">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3">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3">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3">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3">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3">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3">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3">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3">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3">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3">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3">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3">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3">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3">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3">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3">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3">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3">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3">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3">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3">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3">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3">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3">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3">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3">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3">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3">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3">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3">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3">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3">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3">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3">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3">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3">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3">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3">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3">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3">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3">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3">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3">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3">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3">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3">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3">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3">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3">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3">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3">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3">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3">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3">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3">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3">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3">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3">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3">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3">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3">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3">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3">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3">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3">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3">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3">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3">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3">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3">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3">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3">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3">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3">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3">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3">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3">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3">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3">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3">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3">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3">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3">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3">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3">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3">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3">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3">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3">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3">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3">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3">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3">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3"/>
    <row r="926" spans="1:26" ht="15.75" customHeight="1" x14ac:dyDescent="0.3"/>
    <row r="927" spans="1:26" ht="15.75" customHeight="1" x14ac:dyDescent="0.3"/>
    <row r="928" spans="1:26"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G1000"/>
  <sheetViews>
    <sheetView tabSelected="1" topLeftCell="AZ1" workbookViewId="0">
      <selection activeCell="BE2" sqref="BE2"/>
    </sheetView>
  </sheetViews>
  <sheetFormatPr defaultColWidth="14.44140625" defaultRowHeight="15" customHeight="1" x14ac:dyDescent="0.3"/>
  <cols>
    <col min="1" max="1" width="12.44140625" style="9" customWidth="1"/>
    <col min="2" max="2" width="16.5546875" customWidth="1"/>
    <col min="3" max="3" width="7.33203125" customWidth="1"/>
    <col min="4" max="4" width="16.6640625" customWidth="1"/>
    <col min="5" max="5" width="12.77734375" style="11" customWidth="1"/>
    <col min="6" max="6" width="8.88671875" customWidth="1"/>
    <col min="7" max="7" width="8.6640625" customWidth="1"/>
    <col min="8" max="8" width="13.33203125" style="31" customWidth="1"/>
    <col min="9" max="9" width="17.5546875" style="20" customWidth="1"/>
    <col min="10" max="10" width="15.44140625" style="11" customWidth="1"/>
    <col min="11" max="11" width="8.6640625" customWidth="1"/>
    <col min="12" max="12" width="18.88671875" customWidth="1"/>
    <col min="13" max="13" width="14.109375" customWidth="1"/>
    <col min="14" max="14" width="10.88671875" style="8" customWidth="1"/>
    <col min="15" max="15" width="12.33203125" style="11" customWidth="1"/>
    <col min="16" max="16" width="8.6640625" customWidth="1"/>
    <col min="17" max="17" width="17.109375" customWidth="1"/>
    <col min="18" max="18" width="15.44140625" customWidth="1"/>
    <col min="19" max="19" width="11.88671875" customWidth="1"/>
    <col min="20" max="20" width="13" customWidth="1"/>
    <col min="21" max="22" width="11.6640625" customWidth="1"/>
    <col min="23" max="23" width="13.33203125" customWidth="1"/>
    <col min="24" max="24" width="11.5546875" customWidth="1"/>
    <col min="25" max="25" width="12.77734375" customWidth="1"/>
    <col min="26" max="26" width="21.5546875" customWidth="1"/>
    <col min="27" max="27" width="8.6640625" customWidth="1"/>
    <col min="28" max="31" width="14.44140625" customWidth="1"/>
    <col min="32" max="32" width="18" customWidth="1"/>
    <col min="33" max="33" width="18.5546875" customWidth="1"/>
    <col min="34" max="34" width="14.44140625" customWidth="1"/>
    <col min="35" max="35" width="20.109375" customWidth="1"/>
    <col min="36" max="36" width="18.6640625" customWidth="1"/>
    <col min="37" max="37" width="18.88671875" customWidth="1"/>
    <col min="38" max="38" width="17.33203125" customWidth="1"/>
    <col min="39" max="39" width="17.44140625" customWidth="1"/>
    <col min="40" max="40" width="16.33203125" customWidth="1"/>
    <col min="41" max="41" width="17.109375" customWidth="1"/>
    <col min="42" max="42" width="18" customWidth="1"/>
    <col min="43" max="43" width="17.33203125" customWidth="1"/>
    <col min="44" max="44" width="17.44140625" customWidth="1"/>
    <col min="45" max="45" width="16.6640625" customWidth="1"/>
    <col min="46" max="46" width="14.44140625" customWidth="1"/>
    <col min="47" max="47" width="14.44140625" style="11" customWidth="1"/>
    <col min="48" max="49" width="14.44140625" style="27" customWidth="1"/>
    <col min="50" max="50" width="14.44140625" customWidth="1"/>
    <col min="51" max="51" width="19.21875" customWidth="1"/>
    <col min="52" max="52" width="22.21875" customWidth="1"/>
    <col min="53" max="53" width="21.44140625" customWidth="1"/>
    <col min="54" max="54" width="19.88671875" customWidth="1"/>
    <col min="55" max="69" width="14.44140625" customWidth="1"/>
    <col min="70" max="427" width="14.6640625" customWidth="1"/>
  </cols>
  <sheetData>
    <row r="1" spans="1:423" thickBot="1" x14ac:dyDescent="0.35">
      <c r="A1" s="21" t="s">
        <v>2</v>
      </c>
      <c r="B1" s="4" t="s">
        <v>3</v>
      </c>
      <c r="C1" s="4" t="s">
        <v>4</v>
      </c>
      <c r="D1" s="4" t="s">
        <v>5</v>
      </c>
      <c r="E1" s="12" t="s">
        <v>6</v>
      </c>
      <c r="F1" s="4" t="s">
        <v>7</v>
      </c>
      <c r="G1" s="4" t="s">
        <v>8</v>
      </c>
      <c r="H1" s="32" t="s">
        <v>133</v>
      </c>
      <c r="I1" s="18" t="s">
        <v>9</v>
      </c>
      <c r="J1" s="12" t="s">
        <v>10</v>
      </c>
      <c r="K1" s="5"/>
      <c r="L1" s="38" t="s">
        <v>78</v>
      </c>
      <c r="M1" s="38"/>
      <c r="N1" s="7" t="s">
        <v>8</v>
      </c>
      <c r="O1" s="10" t="s">
        <v>10</v>
      </c>
      <c r="P1" s="5"/>
      <c r="Q1" s="5" t="s">
        <v>79</v>
      </c>
      <c r="R1" s="39" t="s">
        <v>80</v>
      </c>
      <c r="S1" s="39"/>
      <c r="T1" s="39"/>
      <c r="U1" s="39"/>
      <c r="V1" s="39"/>
      <c r="W1" s="39"/>
      <c r="X1" s="39"/>
      <c r="Y1" s="39"/>
      <c r="Z1" s="39"/>
      <c r="AA1" s="5"/>
      <c r="AB1" s="23"/>
      <c r="AG1" s="23"/>
      <c r="AI1" s="23"/>
      <c r="AN1" s="23"/>
      <c r="AP1" s="23"/>
      <c r="AU1" s="40" t="s">
        <v>127</v>
      </c>
      <c r="AV1" s="40"/>
      <c r="AW1" s="40"/>
      <c r="AY1" s="29" t="s">
        <v>128</v>
      </c>
      <c r="BA1" t="s">
        <v>3</v>
      </c>
      <c r="BB1" s="23" t="s">
        <v>6</v>
      </c>
      <c r="BC1" s="41" t="s">
        <v>132</v>
      </c>
      <c r="BD1" s="41"/>
      <c r="BI1" s="23"/>
      <c r="BK1" s="23"/>
      <c r="BP1" s="23"/>
      <c r="BU1" s="23"/>
      <c r="BZ1" s="23"/>
      <c r="CE1" s="23"/>
      <c r="CJ1" s="23"/>
      <c r="CO1" s="23"/>
      <c r="CT1" s="23"/>
      <c r="CY1" s="23"/>
      <c r="DD1" s="23"/>
      <c r="DI1" s="23"/>
      <c r="DN1" s="23"/>
      <c r="DS1" s="23"/>
      <c r="DX1" s="23"/>
      <c r="EC1" s="23"/>
      <c r="EH1" s="23"/>
      <c r="EM1" s="23"/>
      <c r="ER1" s="23"/>
      <c r="EW1" s="23"/>
      <c r="FB1" s="23"/>
      <c r="FG1" s="23"/>
      <c r="FL1" s="23"/>
      <c r="FQ1" s="23"/>
      <c r="FV1" s="23"/>
      <c r="GA1" s="23"/>
      <c r="GF1" s="23"/>
      <c r="GK1" s="23"/>
      <c r="GP1" s="23"/>
      <c r="GU1" s="23"/>
      <c r="GZ1" s="23"/>
      <c r="HE1" s="23"/>
      <c r="HJ1" s="23"/>
      <c r="HO1" s="23"/>
      <c r="HT1" s="23"/>
      <c r="HY1" s="23"/>
      <c r="ID1" s="23"/>
      <c r="II1" s="23"/>
      <c r="IN1" s="23"/>
      <c r="IS1" s="23"/>
      <c r="IX1" s="23"/>
      <c r="JC1" s="23"/>
      <c r="JH1" s="23"/>
      <c r="JM1" s="23"/>
      <c r="JR1" s="23"/>
      <c r="JW1" s="23"/>
      <c r="KB1" s="23"/>
      <c r="KG1" s="23"/>
      <c r="KL1" s="23"/>
      <c r="KQ1" s="23"/>
      <c r="KV1" s="23"/>
      <c r="LA1" s="23"/>
      <c r="LF1" s="23"/>
      <c r="LK1" s="23"/>
      <c r="LP1" s="23"/>
      <c r="LU1" s="23"/>
      <c r="LZ1" s="23"/>
      <c r="ME1" s="23"/>
      <c r="MJ1" s="23"/>
      <c r="MO1" s="23"/>
      <c r="MT1" s="23"/>
      <c r="MY1" s="23"/>
      <c r="ND1" s="23"/>
      <c r="NI1" s="23"/>
      <c r="NN1" s="23"/>
      <c r="NS1" s="23"/>
      <c r="NX1" s="23"/>
      <c r="OC1" s="23"/>
      <c r="OH1" s="23"/>
      <c r="OM1" s="23"/>
      <c r="OR1" s="23"/>
      <c r="OW1" s="23"/>
      <c r="PB1" s="23"/>
      <c r="PG1" s="23"/>
    </row>
    <row r="2" spans="1:423" ht="14.4" x14ac:dyDescent="0.3">
      <c r="A2" s="22" t="s">
        <v>11</v>
      </c>
      <c r="B2" s="6" t="s">
        <v>12</v>
      </c>
      <c r="C2" s="6" t="s">
        <v>13</v>
      </c>
      <c r="D2" s="6" t="s">
        <v>14</v>
      </c>
      <c r="E2" s="13">
        <v>1036.0899999999999</v>
      </c>
      <c r="F2" s="6">
        <v>4</v>
      </c>
      <c r="G2" s="6">
        <v>0.2</v>
      </c>
      <c r="H2" s="33">
        <f>MONTH(I2)</f>
        <v>4</v>
      </c>
      <c r="I2" s="19">
        <v>45392</v>
      </c>
      <c r="J2" s="13">
        <v>331.55</v>
      </c>
      <c r="L2" t="s">
        <v>12</v>
      </c>
      <c r="M2">
        <v>1036.0899999999999</v>
      </c>
      <c r="N2" s="8">
        <v>0.2</v>
      </c>
      <c r="O2" s="11">
        <v>331.55</v>
      </c>
      <c r="Q2" s="11">
        <f>E2*(1-N2)-O2</f>
        <v>497.32199999999995</v>
      </c>
      <c r="R2" s="14" t="s">
        <v>81</v>
      </c>
      <c r="S2" s="14"/>
      <c r="T2" s="14"/>
      <c r="U2" s="14"/>
      <c r="V2" s="14"/>
      <c r="W2" s="14"/>
      <c r="X2" s="14"/>
      <c r="Y2" s="14"/>
      <c r="Z2" s="14"/>
      <c r="AB2" s="26" t="s">
        <v>106</v>
      </c>
      <c r="AC2" s="26"/>
      <c r="AD2" s="26" t="s">
        <v>107</v>
      </c>
      <c r="AE2" s="26"/>
      <c r="AF2" s="26" t="s">
        <v>108</v>
      </c>
      <c r="AG2" s="26"/>
      <c r="AH2" s="26" t="s">
        <v>109</v>
      </c>
      <c r="AI2" s="26"/>
      <c r="AJ2" s="26" t="s">
        <v>110</v>
      </c>
      <c r="AK2" s="26"/>
      <c r="AL2" s="26" t="s">
        <v>111</v>
      </c>
      <c r="AM2" s="26"/>
      <c r="AN2" s="26" t="s">
        <v>112</v>
      </c>
      <c r="AO2" s="26"/>
      <c r="AP2" s="26" t="s">
        <v>113</v>
      </c>
      <c r="AQ2" s="26"/>
      <c r="AR2" s="26" t="s">
        <v>114</v>
      </c>
      <c r="AS2" s="26"/>
      <c r="AU2" s="11">
        <v>1036.0899999999999</v>
      </c>
      <c r="AW2" s="27">
        <f>(AU3-AU2)/AU2</f>
        <v>6.2919244467179544E-2</v>
      </c>
      <c r="AY2" s="28">
        <f ca="1">NOW()</f>
        <v>46042.454403587966</v>
      </c>
      <c r="AZ2" t="str">
        <f>INDEX(B:B, MATCH(MAX(E:E), E:E, 0))</f>
        <v>James Wilson</v>
      </c>
      <c r="BA2" t="s">
        <v>12</v>
      </c>
      <c r="BB2">
        <v>1036.0899999999999</v>
      </c>
      <c r="BC2" t="str" cm="1">
        <f t="array" ref="BC2:BD11">_xlfn._xlws.FILTER(BA:BB, BB:BB&gt;1500)</f>
        <v>Customer_Name</v>
      </c>
      <c r="BD2" t="str">
        <v>Sales</v>
      </c>
    </row>
    <row r="3" spans="1:423" ht="14.4" x14ac:dyDescent="0.3">
      <c r="A3" s="22" t="s">
        <v>15</v>
      </c>
      <c r="B3" s="6" t="s">
        <v>16</v>
      </c>
      <c r="C3" s="6" t="s">
        <v>13</v>
      </c>
      <c r="D3" s="6" t="s">
        <v>17</v>
      </c>
      <c r="E3" s="13">
        <v>1101.28</v>
      </c>
      <c r="F3" s="6">
        <v>3</v>
      </c>
      <c r="G3" s="6">
        <v>0.2</v>
      </c>
      <c r="H3" s="33">
        <f t="shared" ref="H3:H66" si="0">MONTH(I3)</f>
        <v>4</v>
      </c>
      <c r="I3" s="19">
        <v>45393</v>
      </c>
      <c r="J3" s="13">
        <v>440.51</v>
      </c>
      <c r="L3" t="s">
        <v>16</v>
      </c>
      <c r="M3">
        <v>1101.28</v>
      </c>
      <c r="N3" s="8">
        <v>0.2</v>
      </c>
      <c r="O3" s="11">
        <v>440.51</v>
      </c>
      <c r="Q3" s="11">
        <f t="shared" ref="Q3:Q66" si="1">E3*(1-N3)-O3</f>
        <v>440.51400000000001</v>
      </c>
      <c r="R3" s="14"/>
      <c r="S3" s="14"/>
      <c r="T3" s="14"/>
      <c r="U3" s="14"/>
      <c r="V3" s="14"/>
      <c r="W3" s="14"/>
      <c r="X3" s="14"/>
      <c r="Y3" s="14"/>
      <c r="Z3" s="14"/>
      <c r="AB3" s="24"/>
      <c r="AC3" s="24"/>
      <c r="AD3" s="24"/>
      <c r="AE3" s="24"/>
      <c r="AF3" s="24"/>
      <c r="AG3" s="24"/>
      <c r="AH3" s="24"/>
      <c r="AI3" s="24"/>
      <c r="AJ3" s="24"/>
      <c r="AK3" s="24"/>
      <c r="AL3" s="24"/>
      <c r="AM3" s="24"/>
      <c r="AN3" s="24"/>
      <c r="AO3" s="24"/>
      <c r="AP3" s="24"/>
      <c r="AQ3" s="24"/>
      <c r="AR3" s="24"/>
      <c r="AS3" s="24"/>
      <c r="AU3" s="11">
        <v>1101.28</v>
      </c>
      <c r="AW3" s="27">
        <f t="shared" ref="AW3:AW66" si="2">(AU4-AU3)/AU3</f>
        <v>-0.35226282144413767</v>
      </c>
      <c r="BA3" t="s">
        <v>16</v>
      </c>
      <c r="BB3">
        <v>1101.28</v>
      </c>
      <c r="BC3" t="str">
        <v>Emma Davis</v>
      </c>
      <c r="BD3">
        <v>1572.82</v>
      </c>
    </row>
    <row r="4" spans="1:423" ht="14.4" x14ac:dyDescent="0.3">
      <c r="A4" s="22" t="s">
        <v>18</v>
      </c>
      <c r="B4" s="6" t="s">
        <v>19</v>
      </c>
      <c r="C4" s="6" t="s">
        <v>20</v>
      </c>
      <c r="D4" s="6" t="s">
        <v>14</v>
      </c>
      <c r="E4" s="13">
        <v>713.34</v>
      </c>
      <c r="F4" s="6">
        <v>17</v>
      </c>
      <c r="G4" s="6">
        <v>0</v>
      </c>
      <c r="H4" s="33">
        <f t="shared" si="0"/>
        <v>4</v>
      </c>
      <c r="I4" s="19">
        <v>45396</v>
      </c>
      <c r="J4" s="13">
        <v>285.33999999999997</v>
      </c>
      <c r="L4" t="s">
        <v>19</v>
      </c>
      <c r="M4">
        <v>713.34</v>
      </c>
      <c r="N4" s="8">
        <v>0</v>
      </c>
      <c r="O4" s="11">
        <v>285.33999999999997</v>
      </c>
      <c r="Q4" s="11">
        <f t="shared" si="1"/>
        <v>428.00000000000006</v>
      </c>
      <c r="R4" s="15" t="s">
        <v>82</v>
      </c>
      <c r="S4" s="15"/>
      <c r="T4" s="14"/>
      <c r="U4" s="14"/>
      <c r="V4" s="14"/>
      <c r="W4" s="14"/>
      <c r="X4" s="14"/>
      <c r="Y4" s="14"/>
      <c r="Z4" s="14"/>
      <c r="AB4" s="24" t="s">
        <v>115</v>
      </c>
      <c r="AC4" s="24">
        <v>520.04499999999996</v>
      </c>
      <c r="AD4" s="24" t="s">
        <v>115</v>
      </c>
      <c r="AE4" s="24">
        <v>552.14</v>
      </c>
      <c r="AF4" s="24" t="s">
        <v>115</v>
      </c>
      <c r="AG4" s="24">
        <v>365.17</v>
      </c>
      <c r="AH4" s="24" t="s">
        <v>115</v>
      </c>
      <c r="AI4" s="24">
        <v>382.46499999999997</v>
      </c>
      <c r="AJ4" s="24" t="s">
        <v>115</v>
      </c>
      <c r="AK4" s="24">
        <v>429.5</v>
      </c>
      <c r="AL4" s="24" t="s">
        <v>115</v>
      </c>
      <c r="AM4" s="24">
        <v>486.82</v>
      </c>
      <c r="AN4" s="24" t="s">
        <v>115</v>
      </c>
      <c r="AO4" s="24">
        <v>664.76499999999999</v>
      </c>
      <c r="AP4" s="24" t="s">
        <v>115</v>
      </c>
      <c r="AQ4" s="24">
        <v>540.23500000000001</v>
      </c>
      <c r="AR4" s="24" t="s">
        <v>115</v>
      </c>
      <c r="AS4" s="24">
        <v>256.27</v>
      </c>
      <c r="AU4" s="11">
        <v>713.34</v>
      </c>
      <c r="AW4" s="27">
        <f t="shared" si="2"/>
        <v>6.6714329772618833E-2</v>
      </c>
      <c r="BA4" t="s">
        <v>19</v>
      </c>
      <c r="BB4">
        <v>713.34</v>
      </c>
      <c r="BC4" t="str">
        <v>Sarah Anderson</v>
      </c>
      <c r="BD4">
        <v>1502.93</v>
      </c>
    </row>
    <row r="5" spans="1:423" ht="14.4" x14ac:dyDescent="0.3">
      <c r="A5" s="22" t="s">
        <v>21</v>
      </c>
      <c r="B5" s="6" t="s">
        <v>16</v>
      </c>
      <c r="C5" s="6" t="s">
        <v>22</v>
      </c>
      <c r="D5" s="6" t="s">
        <v>23</v>
      </c>
      <c r="E5" s="13">
        <v>760.93</v>
      </c>
      <c r="F5" s="6">
        <v>4</v>
      </c>
      <c r="G5" s="6">
        <v>0.15</v>
      </c>
      <c r="H5" s="33">
        <f t="shared" si="0"/>
        <v>4</v>
      </c>
      <c r="I5" s="19">
        <v>45396</v>
      </c>
      <c r="J5" s="13">
        <v>161.69999999999999</v>
      </c>
      <c r="L5" t="s">
        <v>16</v>
      </c>
      <c r="M5">
        <v>760.93</v>
      </c>
      <c r="N5" s="8">
        <v>0.15</v>
      </c>
      <c r="O5" s="11">
        <v>161.69999999999999</v>
      </c>
      <c r="Q5" s="11">
        <f t="shared" si="1"/>
        <v>485.09049999999996</v>
      </c>
      <c r="R5" s="16" t="s">
        <v>83</v>
      </c>
      <c r="S5" s="16">
        <v>0.77340306414342619</v>
      </c>
      <c r="T5" s="14"/>
      <c r="U5" s="14"/>
      <c r="V5" s="14"/>
      <c r="W5" s="14"/>
      <c r="X5" s="14"/>
      <c r="Y5" s="14"/>
      <c r="Z5" s="14"/>
      <c r="AB5" s="24" t="s">
        <v>86</v>
      </c>
      <c r="AC5" s="24">
        <v>516.04499999999985</v>
      </c>
      <c r="AD5" s="24" t="s">
        <v>86</v>
      </c>
      <c r="AE5" s="24">
        <v>549.14</v>
      </c>
      <c r="AF5" s="24" t="s">
        <v>86</v>
      </c>
      <c r="AG5" s="24">
        <v>348.16999999999996</v>
      </c>
      <c r="AH5" s="24" t="s">
        <v>86</v>
      </c>
      <c r="AI5" s="24">
        <v>378.46499999999992</v>
      </c>
      <c r="AJ5" s="24" t="s">
        <v>86</v>
      </c>
      <c r="AK5" s="24">
        <v>417.49999999999994</v>
      </c>
      <c r="AL5" s="24" t="s">
        <v>86</v>
      </c>
      <c r="AM5" s="24">
        <v>478.81999999999994</v>
      </c>
      <c r="AN5" s="24" t="s">
        <v>86</v>
      </c>
      <c r="AO5" s="24">
        <v>652.76499999999987</v>
      </c>
      <c r="AP5" s="24" t="s">
        <v>86</v>
      </c>
      <c r="AQ5" s="24">
        <v>534.23500000000001</v>
      </c>
      <c r="AR5" s="24" t="s">
        <v>86</v>
      </c>
      <c r="AS5" s="24">
        <v>245.27000000000004</v>
      </c>
      <c r="AU5" s="11">
        <v>760.93</v>
      </c>
      <c r="AW5" s="27">
        <f t="shared" si="2"/>
        <v>0.1131115871367932</v>
      </c>
      <c r="BA5" t="s">
        <v>16</v>
      </c>
      <c r="BB5">
        <v>760.93</v>
      </c>
      <c r="BC5" t="str">
        <v>Mary Jackson</v>
      </c>
      <c r="BD5">
        <v>1506.14</v>
      </c>
    </row>
    <row r="6" spans="1:423" ht="14.4" x14ac:dyDescent="0.3">
      <c r="A6" s="22" t="s">
        <v>24</v>
      </c>
      <c r="B6" s="6" t="s">
        <v>25</v>
      </c>
      <c r="C6" s="6" t="s">
        <v>26</v>
      </c>
      <c r="D6" s="6" t="s">
        <v>14</v>
      </c>
      <c r="E6" s="13">
        <v>847</v>
      </c>
      <c r="F6" s="6">
        <v>12</v>
      </c>
      <c r="G6" s="6">
        <v>0.2</v>
      </c>
      <c r="H6" s="33">
        <f t="shared" si="0"/>
        <v>4</v>
      </c>
      <c r="I6" s="19">
        <v>45397</v>
      </c>
      <c r="J6" s="13">
        <v>271.04000000000002</v>
      </c>
      <c r="L6" t="s">
        <v>25</v>
      </c>
      <c r="M6">
        <v>847</v>
      </c>
      <c r="N6" s="8">
        <v>0.2</v>
      </c>
      <c r="O6" s="11">
        <v>271.04000000000002</v>
      </c>
      <c r="Q6" s="11">
        <f t="shared" si="1"/>
        <v>406.56</v>
      </c>
      <c r="R6" s="16" t="s">
        <v>84</v>
      </c>
      <c r="S6" s="16">
        <v>0.59815229962644056</v>
      </c>
      <c r="T6" s="14"/>
      <c r="U6" s="14"/>
      <c r="V6" s="14"/>
      <c r="W6" s="14"/>
      <c r="X6" s="14"/>
      <c r="Y6" s="14"/>
      <c r="Z6" s="14"/>
      <c r="AB6" s="24" t="s">
        <v>116</v>
      </c>
      <c r="AC6" s="24">
        <v>520.04499999999996</v>
      </c>
      <c r="AD6" s="24" t="s">
        <v>116</v>
      </c>
      <c r="AE6" s="24">
        <v>552.14</v>
      </c>
      <c r="AF6" s="24" t="s">
        <v>116</v>
      </c>
      <c r="AG6" s="24">
        <v>365.17</v>
      </c>
      <c r="AH6" s="24" t="s">
        <v>116</v>
      </c>
      <c r="AI6" s="24">
        <v>382.46499999999997</v>
      </c>
      <c r="AJ6" s="24" t="s">
        <v>116</v>
      </c>
      <c r="AK6" s="24">
        <v>429.5</v>
      </c>
      <c r="AL6" s="24" t="s">
        <v>116</v>
      </c>
      <c r="AM6" s="24">
        <v>486.82</v>
      </c>
      <c r="AN6" s="24" t="s">
        <v>116</v>
      </c>
      <c r="AO6" s="24">
        <v>664.76499999999999</v>
      </c>
      <c r="AP6" s="24" t="s">
        <v>116</v>
      </c>
      <c r="AQ6" s="24">
        <v>540.23500000000001</v>
      </c>
      <c r="AR6" s="24" t="s">
        <v>116</v>
      </c>
      <c r="AS6" s="24">
        <v>256.27</v>
      </c>
      <c r="AU6" s="11">
        <v>847</v>
      </c>
      <c r="AW6" s="27">
        <f t="shared" si="2"/>
        <v>0.14007083825265643</v>
      </c>
      <c r="BA6" t="s">
        <v>25</v>
      </c>
      <c r="BB6">
        <v>847</v>
      </c>
      <c r="BC6" t="str">
        <v>Emma Davis</v>
      </c>
      <c r="BD6">
        <v>1526.6</v>
      </c>
    </row>
    <row r="7" spans="1:423" ht="14.4" x14ac:dyDescent="0.3">
      <c r="A7" s="22" t="s">
        <v>27</v>
      </c>
      <c r="B7" s="6" t="s">
        <v>28</v>
      </c>
      <c r="C7" s="6" t="s">
        <v>26</v>
      </c>
      <c r="D7" s="6" t="s">
        <v>29</v>
      </c>
      <c r="E7" s="13">
        <v>965.64</v>
      </c>
      <c r="F7" s="6">
        <v>8</v>
      </c>
      <c r="G7" s="6">
        <v>0.1</v>
      </c>
      <c r="H7" s="33">
        <f t="shared" si="0"/>
        <v>4</v>
      </c>
      <c r="I7" s="19">
        <v>45398</v>
      </c>
      <c r="J7" s="13">
        <v>304.18</v>
      </c>
      <c r="L7" t="s">
        <v>28</v>
      </c>
      <c r="M7">
        <v>965.64</v>
      </c>
      <c r="N7" s="8">
        <v>0.1</v>
      </c>
      <c r="O7" s="11">
        <v>304.18</v>
      </c>
      <c r="Q7" s="11">
        <f t="shared" si="1"/>
        <v>564.89599999999996</v>
      </c>
      <c r="R7" s="16" t="s">
        <v>85</v>
      </c>
      <c r="S7" s="16">
        <v>0.59612276578617007</v>
      </c>
      <c r="T7" s="14"/>
      <c r="U7" s="14"/>
      <c r="V7" s="14"/>
      <c r="W7" s="14"/>
      <c r="X7" s="14"/>
      <c r="Y7" s="14"/>
      <c r="Z7" s="14"/>
      <c r="AB7" s="24" t="s">
        <v>117</v>
      </c>
      <c r="AC7" s="24" t="e">
        <v>#N/A</v>
      </c>
      <c r="AD7" s="24" t="s">
        <v>117</v>
      </c>
      <c r="AE7" s="24" t="e">
        <v>#N/A</v>
      </c>
      <c r="AF7" s="24" t="s">
        <v>117</v>
      </c>
      <c r="AG7" s="24" t="e">
        <v>#N/A</v>
      </c>
      <c r="AH7" s="24" t="s">
        <v>117</v>
      </c>
      <c r="AI7" s="24" t="e">
        <v>#N/A</v>
      </c>
      <c r="AJ7" s="24" t="s">
        <v>117</v>
      </c>
      <c r="AK7" s="24" t="e">
        <v>#N/A</v>
      </c>
      <c r="AL7" s="24" t="s">
        <v>117</v>
      </c>
      <c r="AM7" s="24" t="e">
        <v>#N/A</v>
      </c>
      <c r="AN7" s="24" t="s">
        <v>117</v>
      </c>
      <c r="AO7" s="24" t="e">
        <v>#N/A</v>
      </c>
      <c r="AP7" s="24" t="s">
        <v>117</v>
      </c>
      <c r="AQ7" s="24" t="e">
        <v>#N/A</v>
      </c>
      <c r="AR7" s="24" t="s">
        <v>117</v>
      </c>
      <c r="AS7" s="24" t="e">
        <v>#N/A</v>
      </c>
      <c r="AU7" s="11">
        <v>965.64</v>
      </c>
      <c r="AW7" s="27">
        <f t="shared" si="2"/>
        <v>0.36441116772296095</v>
      </c>
      <c r="BA7" t="s">
        <v>28</v>
      </c>
      <c r="BB7">
        <v>965.64</v>
      </c>
      <c r="BC7" t="str">
        <v>James Wilson</v>
      </c>
      <c r="BD7">
        <v>1923.66</v>
      </c>
    </row>
    <row r="8" spans="1:423" ht="14.4" x14ac:dyDescent="0.3">
      <c r="A8" s="22" t="s">
        <v>30</v>
      </c>
      <c r="B8" s="6" t="s">
        <v>31</v>
      </c>
      <c r="C8" s="6" t="s">
        <v>13</v>
      </c>
      <c r="D8" s="6" t="s">
        <v>23</v>
      </c>
      <c r="E8" s="13">
        <v>1317.53</v>
      </c>
      <c r="F8" s="6">
        <v>12</v>
      </c>
      <c r="G8" s="6">
        <v>0.05</v>
      </c>
      <c r="H8" s="33">
        <f t="shared" si="0"/>
        <v>4</v>
      </c>
      <c r="I8" s="19">
        <v>45398</v>
      </c>
      <c r="J8" s="13">
        <v>312.91000000000003</v>
      </c>
      <c r="L8" t="s">
        <v>31</v>
      </c>
      <c r="M8">
        <v>1317.53</v>
      </c>
      <c r="N8" s="8">
        <v>0.05</v>
      </c>
      <c r="O8" s="11">
        <v>312.91000000000003</v>
      </c>
      <c r="Q8" s="11">
        <f t="shared" si="1"/>
        <v>938.74349999999981</v>
      </c>
      <c r="R8" s="16" t="s">
        <v>86</v>
      </c>
      <c r="S8" s="16">
        <v>86.281230529665166</v>
      </c>
      <c r="T8" s="14"/>
      <c r="U8" s="14"/>
      <c r="V8" s="14"/>
      <c r="W8" s="14"/>
      <c r="X8" s="14"/>
      <c r="Y8" s="14"/>
      <c r="Z8" s="14"/>
      <c r="AB8" s="24" t="s">
        <v>118</v>
      </c>
      <c r="AC8" s="24">
        <v>729.79783779482364</v>
      </c>
      <c r="AD8" s="24" t="s">
        <v>118</v>
      </c>
      <c r="AE8" s="24">
        <v>776.6012356415614</v>
      </c>
      <c r="AF8" s="24" t="s">
        <v>118</v>
      </c>
      <c r="AG8" s="24">
        <v>492.38673601144052</v>
      </c>
      <c r="AH8" s="24" t="s">
        <v>118</v>
      </c>
      <c r="AI8" s="24">
        <v>535.23033588353337</v>
      </c>
      <c r="AJ8" s="24" t="s">
        <v>118</v>
      </c>
      <c r="AK8" s="24">
        <v>590.43416229076718</v>
      </c>
      <c r="AL8" s="24" t="s">
        <v>118</v>
      </c>
      <c r="AM8" s="24">
        <v>677.15373793548531</v>
      </c>
      <c r="AN8" s="24" t="s">
        <v>118</v>
      </c>
      <c r="AO8" s="24">
        <v>923.14911604247334</v>
      </c>
      <c r="AP8" s="24" t="s">
        <v>118</v>
      </c>
      <c r="AQ8" s="24">
        <v>755.52238249439051</v>
      </c>
      <c r="AR8" s="24" t="s">
        <v>118</v>
      </c>
      <c r="AS8" s="24">
        <v>346.86416044324909</v>
      </c>
      <c r="AU8" s="11">
        <v>1317.53</v>
      </c>
      <c r="AW8" s="27">
        <f t="shared" si="2"/>
        <v>-0.18448156778213776</v>
      </c>
      <c r="BA8" t="s">
        <v>31</v>
      </c>
      <c r="BB8">
        <v>1317.53</v>
      </c>
      <c r="BC8" t="str">
        <v>Mary Davis</v>
      </c>
      <c r="BD8">
        <v>1589.42</v>
      </c>
    </row>
    <row r="9" spans="1:423" ht="14.4" x14ac:dyDescent="0.3">
      <c r="A9" s="22" t="s">
        <v>32</v>
      </c>
      <c r="B9" s="6" t="s">
        <v>33</v>
      </c>
      <c r="C9" s="6" t="s">
        <v>20</v>
      </c>
      <c r="D9" s="6" t="s">
        <v>29</v>
      </c>
      <c r="E9" s="13">
        <v>1074.47</v>
      </c>
      <c r="F9" s="6">
        <v>6</v>
      </c>
      <c r="G9" s="6">
        <v>0.2</v>
      </c>
      <c r="H9" s="33">
        <f t="shared" si="0"/>
        <v>4</v>
      </c>
      <c r="I9" s="19">
        <v>45401</v>
      </c>
      <c r="J9" s="13">
        <v>300.85000000000002</v>
      </c>
      <c r="L9" t="s">
        <v>33</v>
      </c>
      <c r="M9">
        <v>1074.47</v>
      </c>
      <c r="N9" s="8">
        <v>0.2</v>
      </c>
      <c r="O9" s="11">
        <v>300.85000000000002</v>
      </c>
      <c r="Q9" s="11">
        <f t="shared" si="1"/>
        <v>558.726</v>
      </c>
      <c r="R9" s="16" t="s">
        <v>87</v>
      </c>
      <c r="S9" s="16">
        <v>200</v>
      </c>
      <c r="T9" s="14"/>
      <c r="U9" s="14"/>
      <c r="V9" s="14"/>
      <c r="W9" s="14"/>
      <c r="X9" s="14"/>
      <c r="Y9" s="14"/>
      <c r="Z9" s="14"/>
      <c r="AB9" s="24" t="s">
        <v>119</v>
      </c>
      <c r="AC9" s="24">
        <v>532604.88404999976</v>
      </c>
      <c r="AD9" s="24" t="s">
        <v>119</v>
      </c>
      <c r="AE9" s="24">
        <v>603109.47920000006</v>
      </c>
      <c r="AF9" s="24" t="s">
        <v>119</v>
      </c>
      <c r="AG9" s="24">
        <v>242444.69780000002</v>
      </c>
      <c r="AH9" s="24" t="s">
        <v>119</v>
      </c>
      <c r="AI9" s="24">
        <v>286471.51244999992</v>
      </c>
      <c r="AJ9" s="24" t="s">
        <v>119</v>
      </c>
      <c r="AK9" s="24">
        <v>348612.5</v>
      </c>
      <c r="AL9" s="24" t="s">
        <v>119</v>
      </c>
      <c r="AM9" s="24">
        <v>458537.18479999999</v>
      </c>
      <c r="AN9" s="24" t="s">
        <v>119</v>
      </c>
      <c r="AO9" s="24">
        <v>852204.29044999997</v>
      </c>
      <c r="AP9" s="24" t="s">
        <v>119</v>
      </c>
      <c r="AQ9" s="24">
        <v>570814.07045000012</v>
      </c>
      <c r="AR9" s="24" t="s">
        <v>119</v>
      </c>
      <c r="AS9" s="24">
        <v>120314.74580000003</v>
      </c>
      <c r="AU9" s="11">
        <v>1074.47</v>
      </c>
      <c r="AW9" s="27">
        <f t="shared" si="2"/>
        <v>-0.53322102990311504</v>
      </c>
      <c r="BA9" t="s">
        <v>33</v>
      </c>
      <c r="BB9">
        <v>1074.47</v>
      </c>
      <c r="BC9" t="str">
        <v>James Wilson</v>
      </c>
      <c r="BD9">
        <v>1681.21</v>
      </c>
    </row>
    <row r="10" spans="1:423" ht="14.4" x14ac:dyDescent="0.3">
      <c r="A10" s="22" t="s">
        <v>34</v>
      </c>
      <c r="B10" s="6" t="s">
        <v>35</v>
      </c>
      <c r="C10" s="6" t="s">
        <v>36</v>
      </c>
      <c r="D10" s="6" t="s">
        <v>14</v>
      </c>
      <c r="E10" s="13">
        <v>501.54</v>
      </c>
      <c r="F10" s="6">
        <v>11</v>
      </c>
      <c r="G10" s="6">
        <v>0.05</v>
      </c>
      <c r="H10" s="33">
        <f t="shared" si="0"/>
        <v>4</v>
      </c>
      <c r="I10" s="19">
        <v>45401</v>
      </c>
      <c r="J10" s="13">
        <v>190.59</v>
      </c>
      <c r="L10" t="s">
        <v>35</v>
      </c>
      <c r="M10">
        <v>501.54</v>
      </c>
      <c r="N10" s="8">
        <v>0.05</v>
      </c>
      <c r="O10" s="11">
        <v>190.59</v>
      </c>
      <c r="Q10" s="11">
        <f t="shared" si="1"/>
        <v>285.87300000000005</v>
      </c>
      <c r="R10" s="14"/>
      <c r="S10" s="14"/>
      <c r="T10" s="14"/>
      <c r="U10" s="14"/>
      <c r="V10" s="14"/>
      <c r="W10" s="14"/>
      <c r="X10" s="14"/>
      <c r="Y10" s="14"/>
      <c r="Z10" s="14"/>
      <c r="AB10" s="24" t="s">
        <v>120</v>
      </c>
      <c r="AC10" s="24" t="e">
        <v>#DIV/0!</v>
      </c>
      <c r="AD10" s="24" t="s">
        <v>120</v>
      </c>
      <c r="AE10" s="24" t="e">
        <v>#DIV/0!</v>
      </c>
      <c r="AF10" s="24" t="s">
        <v>120</v>
      </c>
      <c r="AG10" s="24" t="e">
        <v>#DIV/0!</v>
      </c>
      <c r="AH10" s="24" t="s">
        <v>120</v>
      </c>
      <c r="AI10" s="24" t="e">
        <v>#DIV/0!</v>
      </c>
      <c r="AJ10" s="24" t="s">
        <v>120</v>
      </c>
      <c r="AK10" s="24" t="e">
        <v>#DIV/0!</v>
      </c>
      <c r="AL10" s="24" t="s">
        <v>120</v>
      </c>
      <c r="AM10" s="24" t="e">
        <v>#DIV/0!</v>
      </c>
      <c r="AN10" s="24" t="s">
        <v>120</v>
      </c>
      <c r="AO10" s="24" t="e">
        <v>#DIV/0!</v>
      </c>
      <c r="AP10" s="24" t="s">
        <v>120</v>
      </c>
      <c r="AQ10" s="24" t="e">
        <v>#DIV/0!</v>
      </c>
      <c r="AR10" s="24" t="s">
        <v>120</v>
      </c>
      <c r="AS10" s="24" t="e">
        <v>#DIV/0!</v>
      </c>
      <c r="AU10" s="11">
        <v>501.54</v>
      </c>
      <c r="AW10" s="27">
        <f t="shared" si="2"/>
        <v>0.47009211628185171</v>
      </c>
      <c r="BA10" t="s">
        <v>35</v>
      </c>
      <c r="BB10">
        <v>501.54</v>
      </c>
      <c r="BC10" t="str">
        <v>Linda Taylor</v>
      </c>
      <c r="BD10">
        <v>1622.62</v>
      </c>
    </row>
    <row r="11" spans="1:423" ht="14.4" x14ac:dyDescent="0.3">
      <c r="A11" s="22" t="s">
        <v>37</v>
      </c>
      <c r="B11" s="6" t="s">
        <v>38</v>
      </c>
      <c r="C11" s="6" t="s">
        <v>36</v>
      </c>
      <c r="D11" s="6" t="s">
        <v>17</v>
      </c>
      <c r="E11" s="13">
        <v>737.31</v>
      </c>
      <c r="F11" s="6">
        <v>2</v>
      </c>
      <c r="G11" s="6">
        <v>0.05</v>
      </c>
      <c r="H11" s="33">
        <f t="shared" si="0"/>
        <v>4</v>
      </c>
      <c r="I11" s="19">
        <v>45401</v>
      </c>
      <c r="J11" s="13">
        <v>350.22</v>
      </c>
      <c r="L11" t="s">
        <v>38</v>
      </c>
      <c r="M11">
        <v>737.31</v>
      </c>
      <c r="N11" s="8">
        <v>0.05</v>
      </c>
      <c r="O11" s="11">
        <v>350.22</v>
      </c>
      <c r="Q11" s="11">
        <f t="shared" si="1"/>
        <v>350.22449999999992</v>
      </c>
      <c r="R11" s="14" t="s">
        <v>88</v>
      </c>
      <c r="S11" s="14"/>
      <c r="T11" s="14"/>
      <c r="U11" s="14"/>
      <c r="V11" s="14"/>
      <c r="W11" s="14"/>
      <c r="X11" s="14"/>
      <c r="Y11" s="14"/>
      <c r="Z11" s="14"/>
      <c r="AB11" s="24" t="s">
        <v>121</v>
      </c>
      <c r="AC11" s="24" t="e">
        <v>#DIV/0!</v>
      </c>
      <c r="AD11" s="24" t="s">
        <v>121</v>
      </c>
      <c r="AE11" s="24" t="e">
        <v>#DIV/0!</v>
      </c>
      <c r="AF11" s="24" t="s">
        <v>121</v>
      </c>
      <c r="AG11" s="24" t="e">
        <v>#DIV/0!</v>
      </c>
      <c r="AH11" s="24" t="s">
        <v>121</v>
      </c>
      <c r="AI11" s="24" t="e">
        <v>#DIV/0!</v>
      </c>
      <c r="AJ11" s="24" t="s">
        <v>121</v>
      </c>
      <c r="AK11" s="24" t="e">
        <v>#DIV/0!</v>
      </c>
      <c r="AL11" s="24" t="s">
        <v>121</v>
      </c>
      <c r="AM11" s="24" t="e">
        <v>#DIV/0!</v>
      </c>
      <c r="AN11" s="24" t="s">
        <v>121</v>
      </c>
      <c r="AO11" s="24" t="e">
        <v>#DIV/0!</v>
      </c>
      <c r="AP11" s="24" t="s">
        <v>121</v>
      </c>
      <c r="AQ11" s="24" t="e">
        <v>#DIV/0!</v>
      </c>
      <c r="AR11" s="24" t="s">
        <v>121</v>
      </c>
      <c r="AS11" s="24" t="e">
        <v>#DIV/0!</v>
      </c>
      <c r="AU11" s="11">
        <v>737.31</v>
      </c>
      <c r="AW11" s="27">
        <f t="shared" si="2"/>
        <v>1.1331868549185553</v>
      </c>
      <c r="BA11" t="s">
        <v>38</v>
      </c>
      <c r="BB11">
        <v>737.31</v>
      </c>
      <c r="BC11" t="str">
        <v>Mary Jackson</v>
      </c>
      <c r="BD11">
        <v>1618.22</v>
      </c>
    </row>
    <row r="12" spans="1:423" ht="14.4" x14ac:dyDescent="0.3">
      <c r="A12" s="22" t="s">
        <v>39</v>
      </c>
      <c r="B12" s="6" t="s">
        <v>40</v>
      </c>
      <c r="C12" s="6" t="s">
        <v>13</v>
      </c>
      <c r="D12" s="6" t="s">
        <v>41</v>
      </c>
      <c r="E12" s="13">
        <v>1572.82</v>
      </c>
      <c r="F12" s="6">
        <v>6</v>
      </c>
      <c r="G12" s="6">
        <v>0.05</v>
      </c>
      <c r="H12" s="33">
        <f t="shared" si="0"/>
        <v>4</v>
      </c>
      <c r="I12" s="19">
        <v>45402</v>
      </c>
      <c r="J12" s="13">
        <v>672.38</v>
      </c>
      <c r="L12" t="s">
        <v>40</v>
      </c>
      <c r="M12">
        <v>1572.82</v>
      </c>
      <c r="N12" s="8">
        <v>0.05</v>
      </c>
      <c r="O12" s="11">
        <v>672.38</v>
      </c>
      <c r="Q12" s="11">
        <f t="shared" si="1"/>
        <v>821.79899999999986</v>
      </c>
      <c r="R12" s="17"/>
      <c r="S12" s="17" t="s">
        <v>93</v>
      </c>
      <c r="T12" s="17" t="s">
        <v>94</v>
      </c>
      <c r="U12" s="17" t="s">
        <v>95</v>
      </c>
      <c r="V12" s="17" t="s">
        <v>96</v>
      </c>
      <c r="W12" s="17" t="s">
        <v>97</v>
      </c>
      <c r="X12" s="14"/>
      <c r="Y12" s="14"/>
      <c r="Z12" s="14"/>
      <c r="AB12" s="24" t="s">
        <v>122</v>
      </c>
      <c r="AC12" s="24">
        <v>1032.0899999999999</v>
      </c>
      <c r="AD12" s="24" t="s">
        <v>122</v>
      </c>
      <c r="AE12" s="24">
        <v>1098.28</v>
      </c>
      <c r="AF12" s="24" t="s">
        <v>122</v>
      </c>
      <c r="AG12" s="24">
        <v>696.34</v>
      </c>
      <c r="AH12" s="24" t="s">
        <v>122</v>
      </c>
      <c r="AI12" s="24">
        <v>756.93</v>
      </c>
      <c r="AJ12" s="24" t="s">
        <v>122</v>
      </c>
      <c r="AK12" s="24">
        <v>835</v>
      </c>
      <c r="AL12" s="24" t="s">
        <v>122</v>
      </c>
      <c r="AM12" s="24">
        <v>957.64</v>
      </c>
      <c r="AN12" s="24" t="s">
        <v>122</v>
      </c>
      <c r="AO12" s="24">
        <v>1305.53</v>
      </c>
      <c r="AP12" s="24" t="s">
        <v>122</v>
      </c>
      <c r="AQ12" s="24">
        <v>1068.47</v>
      </c>
      <c r="AR12" s="24" t="s">
        <v>122</v>
      </c>
      <c r="AS12" s="24">
        <v>490.54</v>
      </c>
      <c r="AU12" s="11">
        <v>1572.82</v>
      </c>
      <c r="AW12" s="27">
        <f t="shared" si="2"/>
        <v>-0.14603705446268475</v>
      </c>
      <c r="BA12" t="s">
        <v>40</v>
      </c>
      <c r="BB12">
        <v>1572.82</v>
      </c>
    </row>
    <row r="13" spans="1:423" ht="14.4" x14ac:dyDescent="0.3">
      <c r="A13" s="22" t="s">
        <v>39</v>
      </c>
      <c r="B13" s="6" t="s">
        <v>38</v>
      </c>
      <c r="C13" s="6" t="s">
        <v>36</v>
      </c>
      <c r="D13" s="6" t="s">
        <v>14</v>
      </c>
      <c r="E13" s="13">
        <v>1343.13</v>
      </c>
      <c r="F13" s="6">
        <v>14</v>
      </c>
      <c r="G13" s="6">
        <v>0.15</v>
      </c>
      <c r="H13" s="33">
        <f t="shared" si="0"/>
        <v>4</v>
      </c>
      <c r="I13" s="19">
        <v>45404</v>
      </c>
      <c r="J13" s="13">
        <v>456.66</v>
      </c>
      <c r="L13" t="s">
        <v>38</v>
      </c>
      <c r="M13">
        <v>1343.13</v>
      </c>
      <c r="N13" s="8">
        <v>0.15</v>
      </c>
      <c r="O13" s="11">
        <v>456.66</v>
      </c>
      <c r="Q13" s="11">
        <f t="shared" si="1"/>
        <v>685.00049999999987</v>
      </c>
      <c r="R13" s="16" t="s">
        <v>89</v>
      </c>
      <c r="S13" s="16">
        <v>1</v>
      </c>
      <c r="T13" s="16">
        <v>2194058.1833402822</v>
      </c>
      <c r="U13" s="16">
        <v>2194058.1833402822</v>
      </c>
      <c r="V13" s="16">
        <v>294.72398427548114</v>
      </c>
      <c r="W13" s="16">
        <v>4.6269367558910499E-41</v>
      </c>
      <c r="X13" s="14"/>
      <c r="Y13" s="14"/>
      <c r="Z13" s="14"/>
      <c r="AB13" s="24" t="s">
        <v>123</v>
      </c>
      <c r="AC13" s="24">
        <v>4</v>
      </c>
      <c r="AD13" s="24" t="s">
        <v>123</v>
      </c>
      <c r="AE13" s="24">
        <v>3</v>
      </c>
      <c r="AF13" s="24" t="s">
        <v>123</v>
      </c>
      <c r="AG13" s="24">
        <v>17</v>
      </c>
      <c r="AH13" s="24" t="s">
        <v>123</v>
      </c>
      <c r="AI13" s="24">
        <v>4</v>
      </c>
      <c r="AJ13" s="24" t="s">
        <v>123</v>
      </c>
      <c r="AK13" s="24">
        <v>12</v>
      </c>
      <c r="AL13" s="24" t="s">
        <v>123</v>
      </c>
      <c r="AM13" s="24">
        <v>8</v>
      </c>
      <c r="AN13" s="24" t="s">
        <v>123</v>
      </c>
      <c r="AO13" s="24">
        <v>12</v>
      </c>
      <c r="AP13" s="24" t="s">
        <v>123</v>
      </c>
      <c r="AQ13" s="24">
        <v>6</v>
      </c>
      <c r="AR13" s="24" t="s">
        <v>123</v>
      </c>
      <c r="AS13" s="24">
        <v>11</v>
      </c>
      <c r="AU13" s="11">
        <v>1343.13</v>
      </c>
      <c r="AW13" s="27">
        <f t="shared" si="2"/>
        <v>-0.11283345618071235</v>
      </c>
      <c r="BA13" t="s">
        <v>38</v>
      </c>
      <c r="BB13">
        <v>1343.13</v>
      </c>
    </row>
    <row r="14" spans="1:423" ht="14.4" x14ac:dyDescent="0.3">
      <c r="A14" s="22" t="s">
        <v>27</v>
      </c>
      <c r="B14" s="6" t="s">
        <v>28</v>
      </c>
      <c r="C14" s="6" t="s">
        <v>36</v>
      </c>
      <c r="D14" s="6" t="s">
        <v>14</v>
      </c>
      <c r="E14" s="13">
        <v>1191.58</v>
      </c>
      <c r="F14" s="6">
        <v>14</v>
      </c>
      <c r="G14" s="6">
        <v>0.05</v>
      </c>
      <c r="H14" s="33">
        <f t="shared" si="0"/>
        <v>4</v>
      </c>
      <c r="I14" s="19">
        <v>45406</v>
      </c>
      <c r="J14" s="13">
        <v>452.8</v>
      </c>
      <c r="L14" t="s">
        <v>28</v>
      </c>
      <c r="M14">
        <v>1191.58</v>
      </c>
      <c r="N14" s="8">
        <v>0.05</v>
      </c>
      <c r="O14" s="11">
        <v>452.8</v>
      </c>
      <c r="Q14" s="11">
        <f t="shared" si="1"/>
        <v>679.20100000000002</v>
      </c>
      <c r="R14" s="16" t="s">
        <v>90</v>
      </c>
      <c r="S14" s="16">
        <v>198</v>
      </c>
      <c r="T14" s="16">
        <v>1474001.2468592182</v>
      </c>
      <c r="U14" s="16">
        <v>7444.4507417132236</v>
      </c>
      <c r="V14" s="16"/>
      <c r="W14" s="16"/>
      <c r="X14" s="14"/>
      <c r="Y14" s="14"/>
      <c r="Z14" s="14"/>
      <c r="AB14" s="24" t="s">
        <v>124</v>
      </c>
      <c r="AC14" s="24">
        <v>1036.0899999999999</v>
      </c>
      <c r="AD14" s="24" t="s">
        <v>124</v>
      </c>
      <c r="AE14" s="24">
        <v>1101.28</v>
      </c>
      <c r="AF14" s="24" t="s">
        <v>124</v>
      </c>
      <c r="AG14" s="24">
        <v>713.34</v>
      </c>
      <c r="AH14" s="24" t="s">
        <v>124</v>
      </c>
      <c r="AI14" s="24">
        <v>760.93</v>
      </c>
      <c r="AJ14" s="24" t="s">
        <v>124</v>
      </c>
      <c r="AK14" s="24">
        <v>847</v>
      </c>
      <c r="AL14" s="24" t="s">
        <v>124</v>
      </c>
      <c r="AM14" s="24">
        <v>965.64</v>
      </c>
      <c r="AN14" s="24" t="s">
        <v>124</v>
      </c>
      <c r="AO14" s="24">
        <v>1317.53</v>
      </c>
      <c r="AP14" s="24" t="s">
        <v>124</v>
      </c>
      <c r="AQ14" s="24">
        <v>1074.47</v>
      </c>
      <c r="AR14" s="24" t="s">
        <v>124</v>
      </c>
      <c r="AS14" s="24">
        <v>501.54</v>
      </c>
      <c r="AU14" s="11">
        <v>1191.58</v>
      </c>
      <c r="AW14" s="27">
        <f t="shared" si="2"/>
        <v>-0.30992463787576158</v>
      </c>
      <c r="BA14" t="s">
        <v>28</v>
      </c>
      <c r="BB14">
        <v>1191.58</v>
      </c>
    </row>
    <row r="15" spans="1:423" ht="14.4" x14ac:dyDescent="0.3">
      <c r="A15" s="22" t="s">
        <v>42</v>
      </c>
      <c r="B15" s="6" t="s">
        <v>16</v>
      </c>
      <c r="C15" s="6" t="s">
        <v>13</v>
      </c>
      <c r="D15" s="6" t="s">
        <v>29</v>
      </c>
      <c r="E15" s="13">
        <v>822.28</v>
      </c>
      <c r="F15" s="6">
        <v>7</v>
      </c>
      <c r="G15" s="6">
        <v>0.05</v>
      </c>
      <c r="H15" s="33">
        <f t="shared" si="0"/>
        <v>4</v>
      </c>
      <c r="I15" s="19">
        <v>45406</v>
      </c>
      <c r="J15" s="13">
        <v>273.41000000000003</v>
      </c>
      <c r="L15" t="s">
        <v>16</v>
      </c>
      <c r="M15">
        <v>822.28</v>
      </c>
      <c r="N15" s="8">
        <v>0.05</v>
      </c>
      <c r="O15" s="11">
        <v>273.41000000000003</v>
      </c>
      <c r="Q15" s="11">
        <f t="shared" si="1"/>
        <v>507.75599999999991</v>
      </c>
      <c r="R15" s="16" t="s">
        <v>91</v>
      </c>
      <c r="S15" s="16">
        <v>199</v>
      </c>
      <c r="T15" s="16">
        <v>3668059.4301995002</v>
      </c>
      <c r="U15" s="16"/>
      <c r="V15" s="16"/>
      <c r="W15" s="16"/>
      <c r="X15" s="14"/>
      <c r="Y15" s="14"/>
      <c r="Z15" s="14"/>
      <c r="AB15" s="24" t="s">
        <v>125</v>
      </c>
      <c r="AC15" s="24">
        <v>1040.0899999999999</v>
      </c>
      <c r="AD15" s="24" t="s">
        <v>125</v>
      </c>
      <c r="AE15" s="24">
        <v>1104.28</v>
      </c>
      <c r="AF15" s="24" t="s">
        <v>125</v>
      </c>
      <c r="AG15" s="24">
        <v>730.34</v>
      </c>
      <c r="AH15" s="24" t="s">
        <v>125</v>
      </c>
      <c r="AI15" s="24">
        <v>764.93</v>
      </c>
      <c r="AJ15" s="24" t="s">
        <v>125</v>
      </c>
      <c r="AK15" s="24">
        <v>859</v>
      </c>
      <c r="AL15" s="24" t="s">
        <v>125</v>
      </c>
      <c r="AM15" s="24">
        <v>973.64</v>
      </c>
      <c r="AN15" s="24" t="s">
        <v>125</v>
      </c>
      <c r="AO15" s="24">
        <v>1329.53</v>
      </c>
      <c r="AP15" s="24" t="s">
        <v>125</v>
      </c>
      <c r="AQ15" s="24">
        <v>1080.47</v>
      </c>
      <c r="AR15" s="24" t="s">
        <v>125</v>
      </c>
      <c r="AS15" s="24">
        <v>512.54</v>
      </c>
      <c r="AU15" s="11">
        <v>822.28</v>
      </c>
      <c r="AW15" s="27">
        <f t="shared" si="2"/>
        <v>-0.36558106727635359</v>
      </c>
      <c r="BA15" t="s">
        <v>16</v>
      </c>
      <c r="BB15">
        <v>822.28</v>
      </c>
    </row>
    <row r="16" spans="1:423" thickBot="1" x14ac:dyDescent="0.35">
      <c r="A16" s="22" t="s">
        <v>43</v>
      </c>
      <c r="B16" s="6" t="s">
        <v>44</v>
      </c>
      <c r="C16" s="6" t="s">
        <v>26</v>
      </c>
      <c r="D16" s="6" t="s">
        <v>29</v>
      </c>
      <c r="E16" s="13">
        <v>521.66999999999996</v>
      </c>
      <c r="F16" s="6">
        <v>15</v>
      </c>
      <c r="G16" s="6">
        <v>0.15</v>
      </c>
      <c r="H16" s="33">
        <f t="shared" si="0"/>
        <v>4</v>
      </c>
      <c r="I16" s="19">
        <v>45409</v>
      </c>
      <c r="J16" s="13">
        <v>155.19999999999999</v>
      </c>
      <c r="L16" t="s">
        <v>44</v>
      </c>
      <c r="M16">
        <v>521.66999999999996</v>
      </c>
      <c r="N16" s="8">
        <v>0.15</v>
      </c>
      <c r="O16" s="11">
        <v>155.19999999999999</v>
      </c>
      <c r="Q16" s="11">
        <f t="shared" si="1"/>
        <v>288.21949999999998</v>
      </c>
      <c r="R16" s="14"/>
      <c r="S16" s="14"/>
      <c r="T16" s="14"/>
      <c r="U16" s="14"/>
      <c r="V16" s="14"/>
      <c r="W16" s="14"/>
      <c r="X16" s="14"/>
      <c r="Y16" s="14"/>
      <c r="Z16" s="14"/>
      <c r="AB16" s="25" t="s">
        <v>126</v>
      </c>
      <c r="AC16" s="25">
        <v>2</v>
      </c>
      <c r="AD16" s="25" t="s">
        <v>126</v>
      </c>
      <c r="AE16" s="25">
        <v>2</v>
      </c>
      <c r="AF16" s="25" t="s">
        <v>126</v>
      </c>
      <c r="AG16" s="25">
        <v>2</v>
      </c>
      <c r="AH16" s="25" t="s">
        <v>126</v>
      </c>
      <c r="AI16" s="25">
        <v>2</v>
      </c>
      <c r="AJ16" s="25" t="s">
        <v>126</v>
      </c>
      <c r="AK16" s="25">
        <v>2</v>
      </c>
      <c r="AL16" s="25" t="s">
        <v>126</v>
      </c>
      <c r="AM16" s="25">
        <v>2</v>
      </c>
      <c r="AN16" s="25" t="s">
        <v>126</v>
      </c>
      <c r="AO16" s="25">
        <v>2</v>
      </c>
      <c r="AP16" s="25" t="s">
        <v>126</v>
      </c>
      <c r="AQ16" s="25">
        <v>2</v>
      </c>
      <c r="AR16" s="25" t="s">
        <v>126</v>
      </c>
      <c r="AS16" s="25">
        <v>2</v>
      </c>
      <c r="AU16" s="11">
        <v>521.66999999999996</v>
      </c>
      <c r="AW16" s="27">
        <f t="shared" si="2"/>
        <v>1.8809975655107638</v>
      </c>
      <c r="BA16" t="s">
        <v>44</v>
      </c>
      <c r="BB16">
        <v>521.66999999999996</v>
      </c>
    </row>
    <row r="17" spans="1:54" ht="14.4" x14ac:dyDescent="0.3">
      <c r="A17" s="22" t="s">
        <v>21</v>
      </c>
      <c r="B17" s="6" t="s">
        <v>45</v>
      </c>
      <c r="C17" s="6" t="s">
        <v>22</v>
      </c>
      <c r="D17" s="6" t="s">
        <v>23</v>
      </c>
      <c r="E17" s="13">
        <v>1502.93</v>
      </c>
      <c r="F17" s="6">
        <v>14</v>
      </c>
      <c r="G17" s="6">
        <v>0.2</v>
      </c>
      <c r="H17" s="33">
        <f t="shared" si="0"/>
        <v>4</v>
      </c>
      <c r="I17" s="19">
        <v>45410</v>
      </c>
      <c r="J17" s="13">
        <v>300.58999999999997</v>
      </c>
      <c r="L17" t="s">
        <v>45</v>
      </c>
      <c r="M17">
        <v>1502.93</v>
      </c>
      <c r="N17" s="8">
        <v>0.2</v>
      </c>
      <c r="O17" s="11">
        <v>300.58999999999997</v>
      </c>
      <c r="Q17" s="11">
        <f t="shared" si="1"/>
        <v>901.75400000000013</v>
      </c>
      <c r="R17" s="17"/>
      <c r="S17" s="17" t="s">
        <v>98</v>
      </c>
      <c r="T17" s="17" t="s">
        <v>86</v>
      </c>
      <c r="U17" s="17" t="s">
        <v>99</v>
      </c>
      <c r="V17" s="17" t="s">
        <v>100</v>
      </c>
      <c r="W17" s="17" t="s">
        <v>101</v>
      </c>
      <c r="X17" s="17" t="s">
        <v>102</v>
      </c>
      <c r="Y17" s="17" t="s">
        <v>103</v>
      </c>
      <c r="Z17" s="17" t="s">
        <v>104</v>
      </c>
      <c r="AC17">
        <v>1</v>
      </c>
      <c r="AE17">
        <v>3</v>
      </c>
      <c r="AG17">
        <v>5</v>
      </c>
      <c r="AI17">
        <v>7</v>
      </c>
      <c r="AK17">
        <v>9</v>
      </c>
      <c r="AM17">
        <v>11</v>
      </c>
      <c r="AO17">
        <v>13</v>
      </c>
      <c r="AQ17">
        <v>15</v>
      </c>
      <c r="AS17">
        <v>17</v>
      </c>
      <c r="AU17" s="11">
        <v>1502.93</v>
      </c>
      <c r="AW17" s="27">
        <f t="shared" si="2"/>
        <v>-0.41608724291883187</v>
      </c>
      <c r="BA17" t="s">
        <v>45</v>
      </c>
      <c r="BB17">
        <v>1502.93</v>
      </c>
    </row>
    <row r="18" spans="1:54" ht="14.4" x14ac:dyDescent="0.3">
      <c r="A18" s="22" t="s">
        <v>46</v>
      </c>
      <c r="B18" s="6" t="s">
        <v>16</v>
      </c>
      <c r="C18" s="6" t="s">
        <v>22</v>
      </c>
      <c r="D18" s="6" t="s">
        <v>14</v>
      </c>
      <c r="E18" s="13">
        <v>877.58</v>
      </c>
      <c r="F18" s="6">
        <v>10</v>
      </c>
      <c r="G18" s="6">
        <v>0.15</v>
      </c>
      <c r="H18" s="33">
        <f t="shared" si="0"/>
        <v>4</v>
      </c>
      <c r="I18" s="19">
        <v>45411</v>
      </c>
      <c r="J18" s="13">
        <v>298.38</v>
      </c>
      <c r="L18" t="s">
        <v>16</v>
      </c>
      <c r="M18">
        <v>877.58</v>
      </c>
      <c r="N18" s="8">
        <v>0.15</v>
      </c>
      <c r="O18" s="11">
        <v>298.38</v>
      </c>
      <c r="Q18" s="11">
        <f t="shared" si="1"/>
        <v>447.56299999999999</v>
      </c>
      <c r="R18" s="16" t="s">
        <v>92</v>
      </c>
      <c r="S18" s="16">
        <v>-1.0315504901911368</v>
      </c>
      <c r="T18" s="16">
        <v>20.860617005445505</v>
      </c>
      <c r="U18" s="16">
        <v>-4.9449663445805959E-2</v>
      </c>
      <c r="V18" s="16">
        <v>0.96061079696907459</v>
      </c>
      <c r="W18" s="16">
        <v>-42.169051823378965</v>
      </c>
      <c r="X18" s="16">
        <v>40.105950842996691</v>
      </c>
      <c r="Y18" s="16">
        <v>-42.169051823378965</v>
      </c>
      <c r="Z18" s="16">
        <v>40.105950842996691</v>
      </c>
      <c r="AU18" s="11">
        <v>877.58</v>
      </c>
      <c r="AW18" s="27">
        <f t="shared" si="2"/>
        <v>-0.27448209849814259</v>
      </c>
      <c r="BA18" t="s">
        <v>16</v>
      </c>
      <c r="BB18">
        <v>877.58</v>
      </c>
    </row>
    <row r="19" spans="1:54" ht="14.4" x14ac:dyDescent="0.3">
      <c r="A19" s="22" t="s">
        <v>30</v>
      </c>
      <c r="B19" s="6" t="s">
        <v>47</v>
      </c>
      <c r="C19" s="6" t="s">
        <v>13</v>
      </c>
      <c r="D19" s="6" t="s">
        <v>14</v>
      </c>
      <c r="E19" s="13">
        <v>636.70000000000005</v>
      </c>
      <c r="F19" s="6">
        <v>4</v>
      </c>
      <c r="G19" s="6">
        <v>0.2</v>
      </c>
      <c r="H19" s="33">
        <f t="shared" si="0"/>
        <v>4</v>
      </c>
      <c r="I19" s="19">
        <v>45411</v>
      </c>
      <c r="J19" s="13">
        <v>203.74</v>
      </c>
      <c r="L19" t="s">
        <v>47</v>
      </c>
      <c r="M19">
        <v>636.70000000000005</v>
      </c>
      <c r="N19" s="8">
        <v>0.2</v>
      </c>
      <c r="O19" s="11">
        <v>203.74</v>
      </c>
      <c r="Q19" s="11">
        <f t="shared" si="1"/>
        <v>305.62000000000006</v>
      </c>
      <c r="R19" s="16" t="s">
        <v>105</v>
      </c>
      <c r="S19" s="16">
        <v>0.35085598819512254</v>
      </c>
      <c r="T19" s="16">
        <v>2.0437188630135626E-2</v>
      </c>
      <c r="U19" s="16">
        <v>17.167527028535048</v>
      </c>
      <c r="V19" s="16">
        <v>4.6269367558907868E-41</v>
      </c>
      <c r="W19" s="16">
        <v>0.31055349501865764</v>
      </c>
      <c r="X19" s="16">
        <v>0.39115848137158743</v>
      </c>
      <c r="Y19" s="16">
        <v>0.31055349501865764</v>
      </c>
      <c r="Z19" s="16">
        <v>0.39115848137158743</v>
      </c>
      <c r="AU19" s="11">
        <v>636.70000000000005</v>
      </c>
      <c r="AW19" s="27">
        <f t="shared" si="2"/>
        <v>1.3655410711481075</v>
      </c>
      <c r="BA19" t="s">
        <v>47</v>
      </c>
      <c r="BB19">
        <v>636.70000000000005</v>
      </c>
    </row>
    <row r="20" spans="1:54" ht="14.4" x14ac:dyDescent="0.3">
      <c r="A20" s="22" t="s">
        <v>48</v>
      </c>
      <c r="B20" s="6" t="s">
        <v>49</v>
      </c>
      <c r="C20" s="6" t="s">
        <v>13</v>
      </c>
      <c r="D20" s="6" t="s">
        <v>14</v>
      </c>
      <c r="E20" s="13">
        <v>1506.14</v>
      </c>
      <c r="F20" s="6">
        <v>13</v>
      </c>
      <c r="G20" s="6">
        <v>0.2</v>
      </c>
      <c r="H20" s="33">
        <f t="shared" si="0"/>
        <v>4</v>
      </c>
      <c r="I20" s="19">
        <v>45412</v>
      </c>
      <c r="J20" s="13">
        <v>481.96</v>
      </c>
      <c r="L20" t="s">
        <v>49</v>
      </c>
      <c r="M20">
        <v>1506.14</v>
      </c>
      <c r="N20" s="8">
        <v>0.2</v>
      </c>
      <c r="O20" s="11">
        <v>481.96</v>
      </c>
      <c r="Q20" s="11">
        <f t="shared" si="1"/>
        <v>722.952</v>
      </c>
      <c r="AU20" s="11">
        <v>1506.14</v>
      </c>
      <c r="AW20" s="27">
        <f t="shared" si="2"/>
        <v>-0.57173967891431077</v>
      </c>
      <c r="BA20" t="s">
        <v>49</v>
      </c>
      <c r="BB20">
        <v>1506.14</v>
      </c>
    </row>
    <row r="21" spans="1:54" ht="15.75" customHeight="1" x14ac:dyDescent="0.3">
      <c r="A21" s="22" t="s">
        <v>32</v>
      </c>
      <c r="B21" s="6" t="s">
        <v>33</v>
      </c>
      <c r="C21" s="6" t="s">
        <v>36</v>
      </c>
      <c r="D21" s="6" t="s">
        <v>23</v>
      </c>
      <c r="E21" s="13">
        <v>645.02</v>
      </c>
      <c r="F21" s="6">
        <v>4</v>
      </c>
      <c r="G21" s="6">
        <v>0</v>
      </c>
      <c r="H21" s="33">
        <f t="shared" si="0"/>
        <v>5</v>
      </c>
      <c r="I21" s="19">
        <v>45414</v>
      </c>
      <c r="J21" s="13">
        <v>161.26</v>
      </c>
      <c r="L21" t="s">
        <v>33</v>
      </c>
      <c r="M21">
        <v>645.02</v>
      </c>
      <c r="N21" s="8">
        <v>0</v>
      </c>
      <c r="O21" s="11">
        <v>161.26</v>
      </c>
      <c r="Q21" s="11">
        <f t="shared" si="1"/>
        <v>483.76</v>
      </c>
      <c r="AU21" s="11">
        <v>645.02</v>
      </c>
      <c r="AW21" s="27">
        <f t="shared" si="2"/>
        <v>0.47793866856841644</v>
      </c>
      <c r="BA21" t="s">
        <v>33</v>
      </c>
      <c r="BB21">
        <v>645.02</v>
      </c>
    </row>
    <row r="22" spans="1:54" ht="15.75" customHeight="1" x14ac:dyDescent="0.3">
      <c r="A22" s="22" t="s">
        <v>27</v>
      </c>
      <c r="B22" s="6" t="s">
        <v>50</v>
      </c>
      <c r="C22" s="6" t="s">
        <v>22</v>
      </c>
      <c r="D22" s="6" t="s">
        <v>17</v>
      </c>
      <c r="E22" s="13">
        <v>953.3</v>
      </c>
      <c r="F22" s="6">
        <v>11</v>
      </c>
      <c r="G22" s="6">
        <v>0</v>
      </c>
      <c r="H22" s="33">
        <f t="shared" si="0"/>
        <v>5</v>
      </c>
      <c r="I22" s="19">
        <v>45415</v>
      </c>
      <c r="J22" s="13">
        <v>476.65</v>
      </c>
      <c r="L22" t="s">
        <v>50</v>
      </c>
      <c r="M22">
        <v>953.3</v>
      </c>
      <c r="N22" s="8">
        <v>0</v>
      </c>
      <c r="O22" s="11">
        <v>476.65</v>
      </c>
      <c r="Q22" s="11">
        <f t="shared" si="1"/>
        <v>476.65</v>
      </c>
      <c r="AU22" s="11">
        <v>953.3</v>
      </c>
      <c r="AW22" s="27">
        <f t="shared" si="2"/>
        <v>-0.5924053288576524</v>
      </c>
      <c r="BA22" t="s">
        <v>50</v>
      </c>
      <c r="BB22">
        <v>953.3</v>
      </c>
    </row>
    <row r="23" spans="1:54" ht="15.75" customHeight="1" x14ac:dyDescent="0.3">
      <c r="A23" s="22" t="s">
        <v>51</v>
      </c>
      <c r="B23" s="6" t="s">
        <v>16</v>
      </c>
      <c r="C23" s="6" t="s">
        <v>26</v>
      </c>
      <c r="D23" s="6" t="s">
        <v>23</v>
      </c>
      <c r="E23" s="13">
        <v>388.56</v>
      </c>
      <c r="F23" s="6">
        <v>14</v>
      </c>
      <c r="G23" s="6">
        <v>0.15</v>
      </c>
      <c r="H23" s="33">
        <f t="shared" si="0"/>
        <v>5</v>
      </c>
      <c r="I23" s="19">
        <v>45416</v>
      </c>
      <c r="J23" s="13">
        <v>82.57</v>
      </c>
      <c r="L23" t="s">
        <v>16</v>
      </c>
      <c r="M23">
        <v>388.56</v>
      </c>
      <c r="N23" s="8">
        <v>0.15</v>
      </c>
      <c r="O23" s="11">
        <v>82.57</v>
      </c>
      <c r="Q23" s="11">
        <f t="shared" si="1"/>
        <v>247.70600000000002</v>
      </c>
      <c r="AU23" s="11">
        <v>388.56</v>
      </c>
      <c r="AW23" s="27">
        <f t="shared" si="2"/>
        <v>0.9126261066501955</v>
      </c>
      <c r="BA23" t="s">
        <v>16</v>
      </c>
      <c r="BB23">
        <v>388.56</v>
      </c>
    </row>
    <row r="24" spans="1:54" ht="15.75" customHeight="1" x14ac:dyDescent="0.3">
      <c r="A24" s="22" t="s">
        <v>11</v>
      </c>
      <c r="B24" s="6" t="s">
        <v>33</v>
      </c>
      <c r="C24" s="6" t="s">
        <v>13</v>
      </c>
      <c r="D24" s="6" t="s">
        <v>14</v>
      </c>
      <c r="E24" s="13">
        <v>743.17</v>
      </c>
      <c r="F24" s="6">
        <v>9</v>
      </c>
      <c r="G24" s="6">
        <v>0</v>
      </c>
      <c r="H24" s="33">
        <f t="shared" si="0"/>
        <v>5</v>
      </c>
      <c r="I24" s="19">
        <v>45416</v>
      </c>
      <c r="J24" s="13">
        <v>297.27</v>
      </c>
      <c r="L24" t="s">
        <v>33</v>
      </c>
      <c r="M24">
        <v>743.17</v>
      </c>
      <c r="N24" s="8">
        <v>0</v>
      </c>
      <c r="O24" s="11">
        <v>297.27</v>
      </c>
      <c r="Q24" s="11">
        <f t="shared" si="1"/>
        <v>445.9</v>
      </c>
      <c r="AU24" s="11">
        <v>743.17</v>
      </c>
      <c r="AW24" s="27">
        <f t="shared" si="2"/>
        <v>-4.95176070078178E-2</v>
      </c>
      <c r="BA24" t="s">
        <v>33</v>
      </c>
      <c r="BB24">
        <v>743.17</v>
      </c>
    </row>
    <row r="25" spans="1:54" ht="15.75" customHeight="1" x14ac:dyDescent="0.3">
      <c r="A25" s="22" t="s">
        <v>42</v>
      </c>
      <c r="B25" s="6" t="s">
        <v>33</v>
      </c>
      <c r="C25" s="6" t="s">
        <v>36</v>
      </c>
      <c r="D25" s="6" t="s">
        <v>23</v>
      </c>
      <c r="E25" s="13">
        <v>706.37</v>
      </c>
      <c r="F25" s="6">
        <v>6</v>
      </c>
      <c r="G25" s="6">
        <v>0</v>
      </c>
      <c r="H25" s="33">
        <f t="shared" si="0"/>
        <v>5</v>
      </c>
      <c r="I25" s="19">
        <v>45416</v>
      </c>
      <c r="J25" s="13">
        <v>176.59</v>
      </c>
      <c r="L25" t="s">
        <v>33</v>
      </c>
      <c r="M25">
        <v>706.37</v>
      </c>
      <c r="N25" s="8">
        <v>0</v>
      </c>
      <c r="O25" s="11">
        <v>176.59</v>
      </c>
      <c r="Q25" s="11">
        <f t="shared" si="1"/>
        <v>529.78</v>
      </c>
      <c r="AU25" s="11">
        <v>706.37</v>
      </c>
      <c r="AW25" s="27">
        <f t="shared" si="2"/>
        <v>0.3099508756034372</v>
      </c>
      <c r="BA25" t="s">
        <v>33</v>
      </c>
      <c r="BB25">
        <v>706.37</v>
      </c>
    </row>
    <row r="26" spans="1:54" ht="15.75" customHeight="1" x14ac:dyDescent="0.3">
      <c r="A26" s="22" t="s">
        <v>15</v>
      </c>
      <c r="B26" s="6" t="s">
        <v>33</v>
      </c>
      <c r="C26" s="6" t="s">
        <v>36</v>
      </c>
      <c r="D26" s="6" t="s">
        <v>41</v>
      </c>
      <c r="E26" s="13">
        <v>925.31</v>
      </c>
      <c r="F26" s="6">
        <v>8</v>
      </c>
      <c r="G26" s="6">
        <v>0.1</v>
      </c>
      <c r="H26" s="33">
        <f t="shared" si="0"/>
        <v>5</v>
      </c>
      <c r="I26" s="19">
        <v>45418</v>
      </c>
      <c r="J26" s="13">
        <v>374.75</v>
      </c>
      <c r="L26" t="s">
        <v>33</v>
      </c>
      <c r="M26">
        <v>925.31</v>
      </c>
      <c r="N26" s="8">
        <v>0.1</v>
      </c>
      <c r="O26" s="11">
        <v>374.75</v>
      </c>
      <c r="Q26" s="11">
        <f t="shared" si="1"/>
        <v>458.029</v>
      </c>
      <c r="AU26" s="11">
        <v>925.31</v>
      </c>
      <c r="AW26" s="27">
        <f t="shared" si="2"/>
        <v>0.26781294917379034</v>
      </c>
      <c r="BA26" t="s">
        <v>33</v>
      </c>
      <c r="BB26">
        <v>925.31</v>
      </c>
    </row>
    <row r="27" spans="1:54" ht="15.75" customHeight="1" x14ac:dyDescent="0.3">
      <c r="A27" s="22" t="s">
        <v>37</v>
      </c>
      <c r="B27" s="6" t="s">
        <v>52</v>
      </c>
      <c r="C27" s="6" t="s">
        <v>22</v>
      </c>
      <c r="D27" s="6" t="s">
        <v>23</v>
      </c>
      <c r="E27" s="13">
        <v>1173.1199999999999</v>
      </c>
      <c r="F27" s="6">
        <v>18</v>
      </c>
      <c r="G27" s="6">
        <v>0</v>
      </c>
      <c r="H27" s="33">
        <f t="shared" si="0"/>
        <v>5</v>
      </c>
      <c r="I27" s="19">
        <v>45418</v>
      </c>
      <c r="J27" s="13">
        <v>293.27999999999997</v>
      </c>
      <c r="L27" t="s">
        <v>52</v>
      </c>
      <c r="M27">
        <v>1173.1199999999999</v>
      </c>
      <c r="N27" s="8">
        <v>0</v>
      </c>
      <c r="O27" s="11">
        <v>293.27999999999997</v>
      </c>
      <c r="Q27" s="11">
        <f t="shared" si="1"/>
        <v>879.83999999999992</v>
      </c>
      <c r="AU27" s="11">
        <v>1173.1199999999999</v>
      </c>
      <c r="AW27" s="27">
        <f t="shared" si="2"/>
        <v>-0.42415098199672663</v>
      </c>
      <c r="BA27" t="s">
        <v>52</v>
      </c>
      <c r="BB27">
        <v>1173.1199999999999</v>
      </c>
    </row>
    <row r="28" spans="1:54" ht="15.75" customHeight="1" x14ac:dyDescent="0.3">
      <c r="A28" s="22" t="s">
        <v>24</v>
      </c>
      <c r="B28" s="6" t="s">
        <v>53</v>
      </c>
      <c r="C28" s="6" t="s">
        <v>26</v>
      </c>
      <c r="D28" s="6" t="s">
        <v>29</v>
      </c>
      <c r="E28" s="13">
        <v>675.54</v>
      </c>
      <c r="F28" s="6">
        <v>17</v>
      </c>
      <c r="G28" s="6">
        <v>0</v>
      </c>
      <c r="H28" s="33">
        <f t="shared" si="0"/>
        <v>5</v>
      </c>
      <c r="I28" s="19">
        <v>45420</v>
      </c>
      <c r="J28" s="13">
        <v>236.44</v>
      </c>
      <c r="L28" t="s">
        <v>53</v>
      </c>
      <c r="M28">
        <v>675.54</v>
      </c>
      <c r="N28" s="8">
        <v>0</v>
      </c>
      <c r="O28" s="11">
        <v>236.44</v>
      </c>
      <c r="Q28" s="11">
        <f t="shared" si="1"/>
        <v>439.09999999999997</v>
      </c>
      <c r="AU28" s="11">
        <v>675.54</v>
      </c>
      <c r="AW28" s="27">
        <f t="shared" si="2"/>
        <v>0.3901323385735857</v>
      </c>
      <c r="BA28" t="s">
        <v>53</v>
      </c>
      <c r="BB28">
        <v>675.54</v>
      </c>
    </row>
    <row r="29" spans="1:54" ht="15.75" customHeight="1" x14ac:dyDescent="0.3">
      <c r="A29" s="22" t="s">
        <v>27</v>
      </c>
      <c r="B29" s="6" t="s">
        <v>16</v>
      </c>
      <c r="C29" s="6" t="s">
        <v>36</v>
      </c>
      <c r="D29" s="6" t="s">
        <v>14</v>
      </c>
      <c r="E29" s="13">
        <v>939.09</v>
      </c>
      <c r="F29" s="6">
        <v>2</v>
      </c>
      <c r="G29" s="6">
        <v>0.05</v>
      </c>
      <c r="H29" s="33">
        <f t="shared" si="0"/>
        <v>5</v>
      </c>
      <c r="I29" s="19">
        <v>45422</v>
      </c>
      <c r="J29" s="13">
        <v>356.85</v>
      </c>
      <c r="L29" t="s">
        <v>16</v>
      </c>
      <c r="M29">
        <v>939.09</v>
      </c>
      <c r="N29" s="8">
        <v>0.05</v>
      </c>
      <c r="O29" s="11">
        <v>356.85</v>
      </c>
      <c r="Q29" s="11">
        <f t="shared" si="1"/>
        <v>535.28549999999996</v>
      </c>
      <c r="AU29" s="11">
        <v>939.09</v>
      </c>
      <c r="AW29" s="27">
        <f t="shared" si="2"/>
        <v>4.7120084336964504E-2</v>
      </c>
      <c r="BA29" t="s">
        <v>16</v>
      </c>
      <c r="BB29">
        <v>939.09</v>
      </c>
    </row>
    <row r="30" spans="1:54" ht="15.75" customHeight="1" x14ac:dyDescent="0.3">
      <c r="A30" s="22" t="s">
        <v>54</v>
      </c>
      <c r="B30" s="6" t="s">
        <v>55</v>
      </c>
      <c r="C30" s="6" t="s">
        <v>20</v>
      </c>
      <c r="D30" s="6" t="s">
        <v>41</v>
      </c>
      <c r="E30" s="13">
        <v>983.34</v>
      </c>
      <c r="F30" s="6">
        <v>19</v>
      </c>
      <c r="G30" s="6">
        <v>0.1</v>
      </c>
      <c r="H30" s="33">
        <f t="shared" si="0"/>
        <v>5</v>
      </c>
      <c r="I30" s="19">
        <v>45426</v>
      </c>
      <c r="J30" s="13">
        <v>398.25</v>
      </c>
      <c r="L30" t="s">
        <v>55</v>
      </c>
      <c r="M30">
        <v>983.34</v>
      </c>
      <c r="N30" s="8">
        <v>0.1</v>
      </c>
      <c r="O30" s="11">
        <v>398.25</v>
      </c>
      <c r="Q30" s="11">
        <f t="shared" si="1"/>
        <v>486.75600000000009</v>
      </c>
      <c r="AU30" s="11">
        <v>983.34</v>
      </c>
      <c r="AW30" s="27">
        <f t="shared" si="2"/>
        <v>-0.18521569345292574</v>
      </c>
      <c r="BA30" t="s">
        <v>55</v>
      </c>
      <c r="BB30">
        <v>983.34</v>
      </c>
    </row>
    <row r="31" spans="1:54" ht="15.75" customHeight="1" x14ac:dyDescent="0.3">
      <c r="A31" s="22" t="s">
        <v>54</v>
      </c>
      <c r="B31" s="6" t="s">
        <v>25</v>
      </c>
      <c r="C31" s="6" t="s">
        <v>22</v>
      </c>
      <c r="D31" s="6" t="s">
        <v>23</v>
      </c>
      <c r="E31" s="13">
        <v>801.21</v>
      </c>
      <c r="F31" s="6">
        <v>3</v>
      </c>
      <c r="G31" s="6">
        <v>0.2</v>
      </c>
      <c r="H31" s="33">
        <f t="shared" si="0"/>
        <v>5</v>
      </c>
      <c r="I31" s="19">
        <v>45426</v>
      </c>
      <c r="J31" s="13">
        <v>160.24</v>
      </c>
      <c r="L31" t="s">
        <v>25</v>
      </c>
      <c r="M31">
        <v>801.21</v>
      </c>
      <c r="N31" s="8">
        <v>0.2</v>
      </c>
      <c r="O31" s="11">
        <v>160.24</v>
      </c>
      <c r="Q31" s="11">
        <f t="shared" si="1"/>
        <v>480.72800000000007</v>
      </c>
      <c r="AU31" s="11">
        <v>801.21</v>
      </c>
      <c r="AW31" s="27">
        <f t="shared" si="2"/>
        <v>0.81064889354850789</v>
      </c>
      <c r="BA31" t="s">
        <v>25</v>
      </c>
      <c r="BB31">
        <v>801.21</v>
      </c>
    </row>
    <row r="32" spans="1:54" ht="15.75" customHeight="1" x14ac:dyDescent="0.3">
      <c r="A32" s="22" t="s">
        <v>56</v>
      </c>
      <c r="B32" s="6" t="s">
        <v>57</v>
      </c>
      <c r="C32" s="6" t="s">
        <v>26</v>
      </c>
      <c r="D32" s="6" t="s">
        <v>23</v>
      </c>
      <c r="E32" s="13">
        <v>1450.71</v>
      </c>
      <c r="F32" s="6">
        <v>5</v>
      </c>
      <c r="G32" s="6">
        <v>0.1</v>
      </c>
      <c r="H32" s="33">
        <f t="shared" si="0"/>
        <v>5</v>
      </c>
      <c r="I32" s="19">
        <v>45427</v>
      </c>
      <c r="J32" s="13">
        <v>326.41000000000003</v>
      </c>
      <c r="L32" t="s">
        <v>57</v>
      </c>
      <c r="M32">
        <v>1450.71</v>
      </c>
      <c r="N32" s="8">
        <v>0.1</v>
      </c>
      <c r="O32" s="11">
        <v>326.41000000000003</v>
      </c>
      <c r="Q32" s="11">
        <f t="shared" si="1"/>
        <v>979.22900000000004</v>
      </c>
      <c r="AU32" s="11">
        <v>1450.71</v>
      </c>
      <c r="AW32" s="27">
        <f t="shared" si="2"/>
        <v>-0.29468329300825113</v>
      </c>
      <c r="BA32" t="s">
        <v>57</v>
      </c>
      <c r="BB32">
        <v>1450.71</v>
      </c>
    </row>
    <row r="33" spans="1:54" ht="15.75" customHeight="1" x14ac:dyDescent="0.3">
      <c r="A33" s="22" t="s">
        <v>51</v>
      </c>
      <c r="B33" s="6" t="s">
        <v>58</v>
      </c>
      <c r="C33" s="6" t="s">
        <v>36</v>
      </c>
      <c r="D33" s="6" t="s">
        <v>14</v>
      </c>
      <c r="E33" s="13">
        <v>1023.21</v>
      </c>
      <c r="F33" s="6">
        <v>18</v>
      </c>
      <c r="G33" s="6">
        <v>0.05</v>
      </c>
      <c r="H33" s="33">
        <f t="shared" si="0"/>
        <v>5</v>
      </c>
      <c r="I33" s="19">
        <v>45428</v>
      </c>
      <c r="J33" s="13">
        <v>388.82</v>
      </c>
      <c r="L33" t="s">
        <v>58</v>
      </c>
      <c r="M33">
        <v>1023.21</v>
      </c>
      <c r="N33" s="8">
        <v>0.05</v>
      </c>
      <c r="O33" s="11">
        <v>388.82</v>
      </c>
      <c r="Q33" s="11">
        <f t="shared" si="1"/>
        <v>583.22949999999992</v>
      </c>
      <c r="AU33" s="11">
        <v>1023.21</v>
      </c>
      <c r="AW33" s="27">
        <f t="shared" si="2"/>
        <v>-0.16564537094047166</v>
      </c>
      <c r="BA33" t="s">
        <v>58</v>
      </c>
      <c r="BB33">
        <v>1023.21</v>
      </c>
    </row>
    <row r="34" spans="1:54" ht="15.75" customHeight="1" x14ac:dyDescent="0.3">
      <c r="A34" s="22" t="s">
        <v>30</v>
      </c>
      <c r="B34" s="6" t="s">
        <v>49</v>
      </c>
      <c r="C34" s="6" t="s">
        <v>13</v>
      </c>
      <c r="D34" s="6" t="s">
        <v>29</v>
      </c>
      <c r="E34" s="13">
        <v>853.72</v>
      </c>
      <c r="F34" s="6">
        <v>5</v>
      </c>
      <c r="G34" s="6">
        <v>0.15</v>
      </c>
      <c r="H34" s="33">
        <f t="shared" si="0"/>
        <v>5</v>
      </c>
      <c r="I34" s="19">
        <v>45428</v>
      </c>
      <c r="J34" s="13">
        <v>253.98</v>
      </c>
      <c r="L34" t="s">
        <v>49</v>
      </c>
      <c r="M34">
        <v>853.72</v>
      </c>
      <c r="N34" s="8">
        <v>0.15</v>
      </c>
      <c r="O34" s="11">
        <v>253.98</v>
      </c>
      <c r="Q34" s="11">
        <f t="shared" si="1"/>
        <v>471.68200000000002</v>
      </c>
      <c r="AU34" s="11">
        <v>853.72</v>
      </c>
      <c r="AW34" s="27">
        <f t="shared" si="2"/>
        <v>0.13373237126926857</v>
      </c>
      <c r="BA34" t="s">
        <v>49</v>
      </c>
      <c r="BB34">
        <v>853.72</v>
      </c>
    </row>
    <row r="35" spans="1:54" ht="15.75" customHeight="1" x14ac:dyDescent="0.3">
      <c r="A35" s="22" t="s">
        <v>59</v>
      </c>
      <c r="B35" s="6" t="s">
        <v>45</v>
      </c>
      <c r="C35" s="6" t="s">
        <v>22</v>
      </c>
      <c r="D35" s="6" t="s">
        <v>23</v>
      </c>
      <c r="E35" s="13">
        <v>967.89</v>
      </c>
      <c r="F35" s="6">
        <v>10</v>
      </c>
      <c r="G35" s="6">
        <v>0.1</v>
      </c>
      <c r="H35" s="33">
        <f t="shared" si="0"/>
        <v>5</v>
      </c>
      <c r="I35" s="19">
        <v>45429</v>
      </c>
      <c r="J35" s="13">
        <v>217.78</v>
      </c>
      <c r="L35" t="s">
        <v>45</v>
      </c>
      <c r="M35">
        <v>967.89</v>
      </c>
      <c r="N35" s="8">
        <v>0.1</v>
      </c>
      <c r="O35" s="11">
        <v>217.78</v>
      </c>
      <c r="Q35" s="11">
        <f t="shared" si="1"/>
        <v>653.32100000000003</v>
      </c>
      <c r="AU35" s="11">
        <v>967.89</v>
      </c>
      <c r="AW35" s="27">
        <f t="shared" si="2"/>
        <v>0.24074016675448667</v>
      </c>
      <c r="BA35" t="s">
        <v>45</v>
      </c>
      <c r="BB35">
        <v>967.89</v>
      </c>
    </row>
    <row r="36" spans="1:54" ht="15.75" customHeight="1" x14ac:dyDescent="0.3">
      <c r="A36" s="22" t="s">
        <v>60</v>
      </c>
      <c r="B36" s="6" t="s">
        <v>55</v>
      </c>
      <c r="C36" s="6" t="s">
        <v>26</v>
      </c>
      <c r="D36" s="6" t="s">
        <v>41</v>
      </c>
      <c r="E36" s="13">
        <v>1200.9000000000001</v>
      </c>
      <c r="F36" s="6">
        <v>14</v>
      </c>
      <c r="G36" s="6">
        <v>0.05</v>
      </c>
      <c r="H36" s="33">
        <f t="shared" si="0"/>
        <v>5</v>
      </c>
      <c r="I36" s="19">
        <v>45429</v>
      </c>
      <c r="J36" s="13">
        <v>513.38</v>
      </c>
      <c r="L36" t="s">
        <v>55</v>
      </c>
      <c r="M36">
        <v>1200.9000000000001</v>
      </c>
      <c r="N36" s="8">
        <v>0.05</v>
      </c>
      <c r="O36" s="11">
        <v>513.38</v>
      </c>
      <c r="Q36" s="11">
        <f t="shared" si="1"/>
        <v>627.47500000000002</v>
      </c>
      <c r="AU36" s="11">
        <v>1200.9000000000001</v>
      </c>
      <c r="AW36" s="27">
        <f t="shared" si="2"/>
        <v>-0.60664501623782163</v>
      </c>
      <c r="BA36" t="s">
        <v>55</v>
      </c>
      <c r="BB36">
        <v>1200.9000000000001</v>
      </c>
    </row>
    <row r="37" spans="1:54" ht="15.75" customHeight="1" x14ac:dyDescent="0.3">
      <c r="A37" s="22" t="s">
        <v>15</v>
      </c>
      <c r="B37" s="6" t="s">
        <v>28</v>
      </c>
      <c r="C37" s="6" t="s">
        <v>13</v>
      </c>
      <c r="D37" s="6" t="s">
        <v>14</v>
      </c>
      <c r="E37" s="13">
        <v>472.38</v>
      </c>
      <c r="F37" s="6">
        <v>12</v>
      </c>
      <c r="G37" s="6">
        <v>0.2</v>
      </c>
      <c r="H37" s="33">
        <f t="shared" si="0"/>
        <v>5</v>
      </c>
      <c r="I37" s="19">
        <v>45429</v>
      </c>
      <c r="J37" s="13">
        <v>151.16</v>
      </c>
      <c r="L37" t="s">
        <v>28</v>
      </c>
      <c r="M37">
        <v>472.38</v>
      </c>
      <c r="N37" s="8">
        <v>0.2</v>
      </c>
      <c r="O37" s="11">
        <v>151.16</v>
      </c>
      <c r="Q37" s="11">
        <f t="shared" si="1"/>
        <v>226.744</v>
      </c>
      <c r="AU37" s="11">
        <v>472.38</v>
      </c>
      <c r="AW37" s="27">
        <f t="shared" si="2"/>
        <v>0.78017697616325832</v>
      </c>
      <c r="BA37" t="s">
        <v>28</v>
      </c>
      <c r="BB37">
        <v>472.38</v>
      </c>
    </row>
    <row r="38" spans="1:54" ht="15.75" customHeight="1" x14ac:dyDescent="0.3">
      <c r="A38" s="22" t="s">
        <v>11</v>
      </c>
      <c r="B38" s="6" t="s">
        <v>57</v>
      </c>
      <c r="C38" s="6" t="s">
        <v>20</v>
      </c>
      <c r="D38" s="6" t="s">
        <v>41</v>
      </c>
      <c r="E38" s="13">
        <v>840.92</v>
      </c>
      <c r="F38" s="6">
        <v>9</v>
      </c>
      <c r="G38" s="6">
        <v>0.05</v>
      </c>
      <c r="H38" s="33">
        <f t="shared" si="0"/>
        <v>5</v>
      </c>
      <c r="I38" s="19">
        <v>45429</v>
      </c>
      <c r="J38" s="13">
        <v>359.49</v>
      </c>
      <c r="L38" t="s">
        <v>57</v>
      </c>
      <c r="M38">
        <v>840.92</v>
      </c>
      <c r="N38" s="8">
        <v>0.05</v>
      </c>
      <c r="O38" s="11">
        <v>359.49</v>
      </c>
      <c r="Q38" s="11">
        <f t="shared" si="1"/>
        <v>439.3839999999999</v>
      </c>
      <c r="AU38" s="11">
        <v>840.92</v>
      </c>
      <c r="AW38" s="27">
        <f t="shared" si="2"/>
        <v>0.67680635494458452</v>
      </c>
      <c r="BA38" t="s">
        <v>57</v>
      </c>
      <c r="BB38">
        <v>840.92</v>
      </c>
    </row>
    <row r="39" spans="1:54" ht="15.75" customHeight="1" x14ac:dyDescent="0.3">
      <c r="A39" s="22" t="s">
        <v>54</v>
      </c>
      <c r="B39" s="6" t="s">
        <v>50</v>
      </c>
      <c r="C39" s="6" t="s">
        <v>36</v>
      </c>
      <c r="D39" s="6" t="s">
        <v>29</v>
      </c>
      <c r="E39" s="13">
        <v>1410.06</v>
      </c>
      <c r="F39" s="6">
        <v>11</v>
      </c>
      <c r="G39" s="6">
        <v>0.05</v>
      </c>
      <c r="H39" s="33">
        <f t="shared" si="0"/>
        <v>5</v>
      </c>
      <c r="I39" s="19">
        <v>45434</v>
      </c>
      <c r="J39" s="13">
        <v>468.84</v>
      </c>
      <c r="L39" t="s">
        <v>50</v>
      </c>
      <c r="M39">
        <v>1410.06</v>
      </c>
      <c r="N39" s="8">
        <v>0.05</v>
      </c>
      <c r="O39" s="11">
        <v>468.84</v>
      </c>
      <c r="Q39" s="11">
        <f t="shared" si="1"/>
        <v>870.71699999999987</v>
      </c>
      <c r="AU39" s="11">
        <v>1410.06</v>
      </c>
      <c r="AW39" s="27">
        <f t="shared" si="2"/>
        <v>-0.4517325503879267</v>
      </c>
      <c r="BA39" t="s">
        <v>50</v>
      </c>
      <c r="BB39">
        <v>1410.06</v>
      </c>
    </row>
    <row r="40" spans="1:54" ht="15.75" customHeight="1" x14ac:dyDescent="0.3">
      <c r="A40" s="22" t="s">
        <v>46</v>
      </c>
      <c r="B40" s="6" t="s">
        <v>61</v>
      </c>
      <c r="C40" s="6" t="s">
        <v>36</v>
      </c>
      <c r="D40" s="6" t="s">
        <v>29</v>
      </c>
      <c r="E40" s="13">
        <v>773.09</v>
      </c>
      <c r="F40" s="6">
        <v>13</v>
      </c>
      <c r="G40" s="6">
        <v>0.15</v>
      </c>
      <c r="H40" s="33">
        <f t="shared" si="0"/>
        <v>5</v>
      </c>
      <c r="I40" s="19">
        <v>45434</v>
      </c>
      <c r="J40" s="13">
        <v>229.99</v>
      </c>
      <c r="L40" t="s">
        <v>61</v>
      </c>
      <c r="M40">
        <v>773.09</v>
      </c>
      <c r="N40" s="8">
        <v>0.15</v>
      </c>
      <c r="O40" s="11">
        <v>229.99</v>
      </c>
      <c r="Q40" s="11">
        <f t="shared" si="1"/>
        <v>427.13649999999996</v>
      </c>
      <c r="AU40" s="11">
        <v>773.09</v>
      </c>
      <c r="AW40" s="27">
        <f t="shared" si="2"/>
        <v>-0.24920772484445547</v>
      </c>
      <c r="BA40" t="s">
        <v>61</v>
      </c>
      <c r="BB40">
        <v>773.09</v>
      </c>
    </row>
    <row r="41" spans="1:54" ht="15.75" customHeight="1" x14ac:dyDescent="0.3">
      <c r="A41" s="22" t="s">
        <v>62</v>
      </c>
      <c r="B41" s="6" t="s">
        <v>63</v>
      </c>
      <c r="C41" s="6" t="s">
        <v>20</v>
      </c>
      <c r="D41" s="6" t="s">
        <v>14</v>
      </c>
      <c r="E41" s="13">
        <v>580.42999999999995</v>
      </c>
      <c r="F41" s="6">
        <v>19</v>
      </c>
      <c r="G41" s="6">
        <v>0.15</v>
      </c>
      <c r="H41" s="33">
        <f t="shared" si="0"/>
        <v>5</v>
      </c>
      <c r="I41" s="19">
        <v>45435</v>
      </c>
      <c r="J41" s="13">
        <v>197.35</v>
      </c>
      <c r="L41" t="s">
        <v>63</v>
      </c>
      <c r="M41">
        <v>580.42999999999995</v>
      </c>
      <c r="N41" s="8">
        <v>0.15</v>
      </c>
      <c r="O41" s="11">
        <v>197.35</v>
      </c>
      <c r="Q41" s="11">
        <f t="shared" si="1"/>
        <v>296.01549999999997</v>
      </c>
      <c r="AU41" s="11">
        <v>580.42999999999995</v>
      </c>
      <c r="AW41" s="27">
        <f t="shared" si="2"/>
        <v>0.98337439484520117</v>
      </c>
      <c r="BA41" t="s">
        <v>63</v>
      </c>
      <c r="BB41">
        <v>580.42999999999995</v>
      </c>
    </row>
    <row r="42" spans="1:54" ht="15.75" customHeight="1" x14ac:dyDescent="0.3">
      <c r="A42" s="22" t="s">
        <v>21</v>
      </c>
      <c r="B42" s="6" t="s">
        <v>44</v>
      </c>
      <c r="C42" s="6" t="s">
        <v>22</v>
      </c>
      <c r="D42" s="6" t="s">
        <v>14</v>
      </c>
      <c r="E42" s="13">
        <v>1151.21</v>
      </c>
      <c r="F42" s="6">
        <v>15</v>
      </c>
      <c r="G42" s="6">
        <v>0.1</v>
      </c>
      <c r="H42" s="33">
        <f t="shared" si="0"/>
        <v>6</v>
      </c>
      <c r="I42" s="19">
        <v>45445</v>
      </c>
      <c r="J42" s="13">
        <v>414.44</v>
      </c>
      <c r="L42" t="s">
        <v>44</v>
      </c>
      <c r="M42">
        <v>1151.21</v>
      </c>
      <c r="N42" s="8">
        <v>0.1</v>
      </c>
      <c r="O42" s="11">
        <v>414.44</v>
      </c>
      <c r="Q42" s="11">
        <f t="shared" si="1"/>
        <v>621.64900000000011</v>
      </c>
      <c r="AU42" s="11">
        <v>1151.21</v>
      </c>
      <c r="AW42" s="27">
        <f t="shared" si="2"/>
        <v>-0.10878119543784368</v>
      </c>
      <c r="BA42" t="s">
        <v>44</v>
      </c>
      <c r="BB42">
        <v>1151.21</v>
      </c>
    </row>
    <row r="43" spans="1:54" ht="15.75" customHeight="1" x14ac:dyDescent="0.3">
      <c r="A43" s="22" t="s">
        <v>54</v>
      </c>
      <c r="B43" s="6" t="s">
        <v>25</v>
      </c>
      <c r="C43" s="6" t="s">
        <v>36</v>
      </c>
      <c r="D43" s="6" t="s">
        <v>41</v>
      </c>
      <c r="E43" s="13">
        <v>1025.98</v>
      </c>
      <c r="F43" s="6">
        <v>5</v>
      </c>
      <c r="G43" s="6">
        <v>0.2</v>
      </c>
      <c r="H43" s="33">
        <f t="shared" si="0"/>
        <v>6</v>
      </c>
      <c r="I43" s="19">
        <v>45447</v>
      </c>
      <c r="J43" s="13">
        <v>369.35</v>
      </c>
      <c r="L43" t="s">
        <v>25</v>
      </c>
      <c r="M43">
        <v>1025.98</v>
      </c>
      <c r="N43" s="8">
        <v>0.2</v>
      </c>
      <c r="O43" s="11">
        <v>369.35</v>
      </c>
      <c r="Q43" s="11">
        <f t="shared" si="1"/>
        <v>451.43400000000008</v>
      </c>
      <c r="AU43" s="11">
        <v>1025.98</v>
      </c>
      <c r="AW43" s="27">
        <f t="shared" si="2"/>
        <v>-0.45766974015088019</v>
      </c>
      <c r="BA43" t="s">
        <v>25</v>
      </c>
      <c r="BB43">
        <v>1025.98</v>
      </c>
    </row>
    <row r="44" spans="1:54" ht="15.75" customHeight="1" x14ac:dyDescent="0.3">
      <c r="A44" s="22" t="s">
        <v>42</v>
      </c>
      <c r="B44" s="6" t="s">
        <v>58</v>
      </c>
      <c r="C44" s="6" t="s">
        <v>20</v>
      </c>
      <c r="D44" s="6" t="s">
        <v>41</v>
      </c>
      <c r="E44" s="13">
        <v>556.41999999999996</v>
      </c>
      <c r="F44" s="6">
        <v>11</v>
      </c>
      <c r="G44" s="6">
        <v>0.15</v>
      </c>
      <c r="H44" s="33">
        <f t="shared" si="0"/>
        <v>6</v>
      </c>
      <c r="I44" s="19">
        <v>45447</v>
      </c>
      <c r="J44" s="13">
        <v>212.83</v>
      </c>
      <c r="L44" t="s">
        <v>58</v>
      </c>
      <c r="M44">
        <v>556.41999999999996</v>
      </c>
      <c r="N44" s="8">
        <v>0.15</v>
      </c>
      <c r="O44" s="11">
        <v>212.83</v>
      </c>
      <c r="Q44" s="11">
        <f t="shared" si="1"/>
        <v>260.12699999999995</v>
      </c>
      <c r="AU44" s="11">
        <v>556.41999999999996</v>
      </c>
      <c r="AW44" s="27">
        <f t="shared" si="2"/>
        <v>0.51117860608892574</v>
      </c>
      <c r="BA44" t="s">
        <v>58</v>
      </c>
      <c r="BB44">
        <v>556.41999999999996</v>
      </c>
    </row>
    <row r="45" spans="1:54" ht="15.75" customHeight="1" x14ac:dyDescent="0.3">
      <c r="A45" s="22" t="s">
        <v>59</v>
      </c>
      <c r="B45" s="6" t="s">
        <v>25</v>
      </c>
      <c r="C45" s="6" t="s">
        <v>36</v>
      </c>
      <c r="D45" s="6" t="s">
        <v>14</v>
      </c>
      <c r="E45" s="13">
        <v>840.85</v>
      </c>
      <c r="F45" s="6">
        <v>19</v>
      </c>
      <c r="G45" s="6">
        <v>0.1</v>
      </c>
      <c r="H45" s="33">
        <f t="shared" si="0"/>
        <v>6</v>
      </c>
      <c r="I45" s="19">
        <v>45448</v>
      </c>
      <c r="J45" s="13">
        <v>302.70999999999998</v>
      </c>
      <c r="L45" t="s">
        <v>25</v>
      </c>
      <c r="M45">
        <v>840.85</v>
      </c>
      <c r="N45" s="8">
        <v>0.1</v>
      </c>
      <c r="O45" s="11">
        <v>302.70999999999998</v>
      </c>
      <c r="Q45" s="11">
        <f t="shared" si="1"/>
        <v>454.05500000000001</v>
      </c>
      <c r="AU45" s="11">
        <v>840.85</v>
      </c>
      <c r="AW45" s="27">
        <f t="shared" si="2"/>
        <v>0.45953499435095435</v>
      </c>
      <c r="BA45" t="s">
        <v>25</v>
      </c>
      <c r="BB45">
        <v>840.85</v>
      </c>
    </row>
    <row r="46" spans="1:54" ht="15.75" customHeight="1" x14ac:dyDescent="0.3">
      <c r="A46" s="22" t="s">
        <v>32</v>
      </c>
      <c r="B46" s="6" t="s">
        <v>63</v>
      </c>
      <c r="C46" s="6" t="s">
        <v>26</v>
      </c>
      <c r="D46" s="6" t="s">
        <v>29</v>
      </c>
      <c r="E46" s="13">
        <v>1227.25</v>
      </c>
      <c r="F46" s="6">
        <v>12</v>
      </c>
      <c r="G46" s="6">
        <v>0.15</v>
      </c>
      <c r="H46" s="33">
        <f t="shared" si="0"/>
        <v>6</v>
      </c>
      <c r="I46" s="19">
        <v>45448</v>
      </c>
      <c r="J46" s="13">
        <v>365.11</v>
      </c>
      <c r="L46" t="s">
        <v>63</v>
      </c>
      <c r="M46">
        <v>1227.25</v>
      </c>
      <c r="N46" s="8">
        <v>0.15</v>
      </c>
      <c r="O46" s="11">
        <v>365.11</v>
      </c>
      <c r="Q46" s="11">
        <f t="shared" si="1"/>
        <v>678.0524999999999</v>
      </c>
      <c r="AU46" s="11">
        <v>1227.25</v>
      </c>
      <c r="AW46" s="27">
        <f t="shared" si="2"/>
        <v>-0.3019352210226115</v>
      </c>
      <c r="BA46" t="s">
        <v>63</v>
      </c>
      <c r="BB46">
        <v>1227.25</v>
      </c>
    </row>
    <row r="47" spans="1:54" ht="15.75" customHeight="1" x14ac:dyDescent="0.3">
      <c r="A47" s="22" t="s">
        <v>18</v>
      </c>
      <c r="B47" s="6" t="s">
        <v>64</v>
      </c>
      <c r="C47" s="6" t="s">
        <v>36</v>
      </c>
      <c r="D47" s="6" t="s">
        <v>23</v>
      </c>
      <c r="E47" s="13">
        <v>856.7</v>
      </c>
      <c r="F47" s="6">
        <v>2</v>
      </c>
      <c r="G47" s="6">
        <v>0</v>
      </c>
      <c r="H47" s="33">
        <f t="shared" si="0"/>
        <v>6</v>
      </c>
      <c r="I47" s="19">
        <v>45449</v>
      </c>
      <c r="J47" s="13">
        <v>214.18</v>
      </c>
      <c r="L47" t="s">
        <v>64</v>
      </c>
      <c r="M47">
        <v>856.7</v>
      </c>
      <c r="N47" s="8">
        <v>0</v>
      </c>
      <c r="O47" s="11">
        <v>214.18</v>
      </c>
      <c r="Q47" s="11">
        <f t="shared" si="1"/>
        <v>642.52</v>
      </c>
      <c r="AU47" s="11">
        <v>856.7</v>
      </c>
      <c r="AW47" s="27">
        <f t="shared" si="2"/>
        <v>0.4303957044472978</v>
      </c>
      <c r="BA47" t="s">
        <v>64</v>
      </c>
      <c r="BB47">
        <v>856.7</v>
      </c>
    </row>
    <row r="48" spans="1:54" ht="15.75" customHeight="1" x14ac:dyDescent="0.3">
      <c r="A48" s="22" t="s">
        <v>56</v>
      </c>
      <c r="B48" s="6" t="s">
        <v>58</v>
      </c>
      <c r="C48" s="6" t="s">
        <v>36</v>
      </c>
      <c r="D48" s="6" t="s">
        <v>41</v>
      </c>
      <c r="E48" s="13">
        <v>1225.42</v>
      </c>
      <c r="F48" s="6">
        <v>8</v>
      </c>
      <c r="G48" s="6">
        <v>0.15</v>
      </c>
      <c r="H48" s="33">
        <f t="shared" si="0"/>
        <v>6</v>
      </c>
      <c r="I48" s="19">
        <v>45449</v>
      </c>
      <c r="J48" s="13">
        <v>468.72</v>
      </c>
      <c r="L48" t="s">
        <v>58</v>
      </c>
      <c r="M48">
        <v>1225.42</v>
      </c>
      <c r="N48" s="8">
        <v>0.15</v>
      </c>
      <c r="O48" s="11">
        <v>468.72</v>
      </c>
      <c r="Q48" s="11">
        <f t="shared" si="1"/>
        <v>572.88699999999994</v>
      </c>
      <c r="AU48" s="11">
        <v>1225.42</v>
      </c>
      <c r="AW48" s="27">
        <f t="shared" si="2"/>
        <v>-0.18267206345579476</v>
      </c>
      <c r="BA48" t="s">
        <v>58</v>
      </c>
      <c r="BB48">
        <v>1225.42</v>
      </c>
    </row>
    <row r="49" spans="1:54" ht="15.75" customHeight="1" x14ac:dyDescent="0.3">
      <c r="A49" s="22" t="s">
        <v>65</v>
      </c>
      <c r="B49" s="6" t="s">
        <v>33</v>
      </c>
      <c r="C49" s="6" t="s">
        <v>26</v>
      </c>
      <c r="D49" s="6" t="s">
        <v>41</v>
      </c>
      <c r="E49" s="13">
        <v>1001.57</v>
      </c>
      <c r="F49" s="6">
        <v>12</v>
      </c>
      <c r="G49" s="6">
        <v>0</v>
      </c>
      <c r="H49" s="33">
        <f t="shared" si="0"/>
        <v>6</v>
      </c>
      <c r="I49" s="19">
        <v>45450</v>
      </c>
      <c r="J49" s="13">
        <v>450.71</v>
      </c>
      <c r="L49" t="s">
        <v>33</v>
      </c>
      <c r="M49">
        <v>1001.57</v>
      </c>
      <c r="N49" s="8">
        <v>0</v>
      </c>
      <c r="O49" s="11">
        <v>450.71</v>
      </c>
      <c r="Q49" s="11">
        <f t="shared" si="1"/>
        <v>550.86000000000013</v>
      </c>
      <c r="AU49" s="11">
        <v>1001.57</v>
      </c>
      <c r="AW49" s="27">
        <f t="shared" si="2"/>
        <v>0.18498956638078201</v>
      </c>
      <c r="BA49" t="s">
        <v>33</v>
      </c>
      <c r="BB49">
        <v>1001.57</v>
      </c>
    </row>
    <row r="50" spans="1:54" ht="15.75" customHeight="1" x14ac:dyDescent="0.3">
      <c r="A50" s="22" t="s">
        <v>59</v>
      </c>
      <c r="B50" s="6" t="s">
        <v>28</v>
      </c>
      <c r="C50" s="6" t="s">
        <v>20</v>
      </c>
      <c r="D50" s="6" t="s">
        <v>29</v>
      </c>
      <c r="E50" s="13">
        <v>1186.8499999999999</v>
      </c>
      <c r="F50" s="6">
        <v>19</v>
      </c>
      <c r="G50" s="6">
        <v>0.2</v>
      </c>
      <c r="H50" s="33">
        <f t="shared" si="0"/>
        <v>6</v>
      </c>
      <c r="I50" s="19">
        <v>45451</v>
      </c>
      <c r="J50" s="13">
        <v>332.32</v>
      </c>
      <c r="L50" t="s">
        <v>28</v>
      </c>
      <c r="M50">
        <v>1186.8499999999999</v>
      </c>
      <c r="N50" s="8">
        <v>0.2</v>
      </c>
      <c r="O50" s="11">
        <v>332.32</v>
      </c>
      <c r="Q50" s="11">
        <f t="shared" si="1"/>
        <v>617.16000000000008</v>
      </c>
      <c r="AU50" s="11">
        <v>1186.8499999999999</v>
      </c>
      <c r="AW50" s="27">
        <f t="shared" si="2"/>
        <v>-0.34663184058642615</v>
      </c>
      <c r="BA50" t="s">
        <v>28</v>
      </c>
      <c r="BB50">
        <v>1186.8499999999999</v>
      </c>
    </row>
    <row r="51" spans="1:54" ht="15.75" customHeight="1" x14ac:dyDescent="0.3">
      <c r="A51" s="22" t="s">
        <v>46</v>
      </c>
      <c r="B51" s="6" t="s">
        <v>53</v>
      </c>
      <c r="C51" s="6" t="s">
        <v>22</v>
      </c>
      <c r="D51" s="6" t="s">
        <v>23</v>
      </c>
      <c r="E51" s="13">
        <v>775.45</v>
      </c>
      <c r="F51" s="6">
        <v>6</v>
      </c>
      <c r="G51" s="6">
        <v>0.1</v>
      </c>
      <c r="H51" s="33">
        <f t="shared" si="0"/>
        <v>6</v>
      </c>
      <c r="I51" s="19">
        <v>45457</v>
      </c>
      <c r="J51" s="13">
        <v>174.48</v>
      </c>
      <c r="L51" t="s">
        <v>53</v>
      </c>
      <c r="M51">
        <v>775.45</v>
      </c>
      <c r="N51" s="8">
        <v>0.1</v>
      </c>
      <c r="O51" s="11">
        <v>174.48</v>
      </c>
      <c r="Q51" s="11">
        <f t="shared" si="1"/>
        <v>523.42500000000007</v>
      </c>
      <c r="AU51" s="11">
        <v>775.45</v>
      </c>
      <c r="AW51" s="27">
        <f t="shared" si="2"/>
        <v>0.3172609452575923</v>
      </c>
      <c r="BA51" t="s">
        <v>53</v>
      </c>
      <c r="BB51">
        <v>775.45</v>
      </c>
    </row>
    <row r="52" spans="1:54" ht="15.75" customHeight="1" x14ac:dyDescent="0.3">
      <c r="A52" s="22" t="s">
        <v>27</v>
      </c>
      <c r="B52" s="6" t="s">
        <v>35</v>
      </c>
      <c r="C52" s="6" t="s">
        <v>22</v>
      </c>
      <c r="D52" s="6" t="s">
        <v>23</v>
      </c>
      <c r="E52" s="13">
        <v>1021.47</v>
      </c>
      <c r="F52" s="6">
        <v>6</v>
      </c>
      <c r="G52" s="6">
        <v>0.05</v>
      </c>
      <c r="H52" s="33">
        <f t="shared" si="0"/>
        <v>6</v>
      </c>
      <c r="I52" s="19">
        <v>45461</v>
      </c>
      <c r="J52" s="13">
        <v>242.6</v>
      </c>
      <c r="L52" t="s">
        <v>35</v>
      </c>
      <c r="M52">
        <v>1021.47</v>
      </c>
      <c r="N52" s="8">
        <v>0.05</v>
      </c>
      <c r="O52" s="11">
        <v>242.6</v>
      </c>
      <c r="Q52" s="11">
        <f t="shared" si="1"/>
        <v>727.79649999999992</v>
      </c>
      <c r="AU52" s="11">
        <v>1021.47</v>
      </c>
      <c r="AW52" s="27">
        <f t="shared" si="2"/>
        <v>0.20083800796890741</v>
      </c>
      <c r="BA52" t="s">
        <v>35</v>
      </c>
      <c r="BB52">
        <v>1021.47</v>
      </c>
    </row>
    <row r="53" spans="1:54" ht="15.75" customHeight="1" x14ac:dyDescent="0.3">
      <c r="A53" s="22" t="s">
        <v>60</v>
      </c>
      <c r="B53" s="6" t="s">
        <v>25</v>
      </c>
      <c r="C53" s="6" t="s">
        <v>22</v>
      </c>
      <c r="D53" s="6" t="s">
        <v>17</v>
      </c>
      <c r="E53" s="13">
        <v>1226.6199999999999</v>
      </c>
      <c r="F53" s="6">
        <v>7</v>
      </c>
      <c r="G53" s="6">
        <v>0.1</v>
      </c>
      <c r="H53" s="33">
        <f t="shared" si="0"/>
        <v>6</v>
      </c>
      <c r="I53" s="19">
        <v>45463</v>
      </c>
      <c r="J53" s="13">
        <v>551.98</v>
      </c>
      <c r="L53" t="s">
        <v>25</v>
      </c>
      <c r="M53">
        <v>1226.6199999999999</v>
      </c>
      <c r="N53" s="8">
        <v>0.1</v>
      </c>
      <c r="O53" s="11">
        <v>551.98</v>
      </c>
      <c r="Q53" s="11">
        <f t="shared" si="1"/>
        <v>551.97799999999984</v>
      </c>
      <c r="AU53" s="11">
        <v>1226.6199999999999</v>
      </c>
      <c r="AW53" s="27">
        <f t="shared" si="2"/>
        <v>-0.11388204986059239</v>
      </c>
      <c r="BA53" t="s">
        <v>25</v>
      </c>
      <c r="BB53">
        <v>1226.6199999999999</v>
      </c>
    </row>
    <row r="54" spans="1:54" ht="15.75" customHeight="1" x14ac:dyDescent="0.3">
      <c r="A54" s="22" t="s">
        <v>24</v>
      </c>
      <c r="B54" s="6" t="s">
        <v>66</v>
      </c>
      <c r="C54" s="6" t="s">
        <v>22</v>
      </c>
      <c r="D54" s="6" t="s">
        <v>29</v>
      </c>
      <c r="E54" s="13">
        <v>1086.93</v>
      </c>
      <c r="F54" s="6">
        <v>2</v>
      </c>
      <c r="G54" s="6">
        <v>0</v>
      </c>
      <c r="H54" s="33">
        <f t="shared" si="0"/>
        <v>6</v>
      </c>
      <c r="I54" s="19">
        <v>45464</v>
      </c>
      <c r="J54" s="13">
        <v>380.43</v>
      </c>
      <c r="L54" t="s">
        <v>66</v>
      </c>
      <c r="M54">
        <v>1086.93</v>
      </c>
      <c r="N54" s="8">
        <v>0</v>
      </c>
      <c r="O54" s="11">
        <v>380.43</v>
      </c>
      <c r="Q54" s="11">
        <f t="shared" si="1"/>
        <v>706.5</v>
      </c>
      <c r="AU54" s="11">
        <v>1086.93</v>
      </c>
      <c r="AW54" s="27">
        <f t="shared" si="2"/>
        <v>-0.13251083326433172</v>
      </c>
      <c r="BA54" t="s">
        <v>66</v>
      </c>
      <c r="BB54">
        <v>1086.93</v>
      </c>
    </row>
    <row r="55" spans="1:54" ht="15.75" customHeight="1" x14ac:dyDescent="0.3">
      <c r="A55" s="22" t="s">
        <v>67</v>
      </c>
      <c r="B55" s="6" t="s">
        <v>50</v>
      </c>
      <c r="C55" s="6" t="s">
        <v>13</v>
      </c>
      <c r="D55" s="6" t="s">
        <v>14</v>
      </c>
      <c r="E55" s="13">
        <v>942.9</v>
      </c>
      <c r="F55" s="6">
        <v>18</v>
      </c>
      <c r="G55" s="6">
        <v>0.1</v>
      </c>
      <c r="H55" s="33">
        <f t="shared" si="0"/>
        <v>6</v>
      </c>
      <c r="I55" s="19">
        <v>45466</v>
      </c>
      <c r="J55" s="13">
        <v>339.44</v>
      </c>
      <c r="L55" t="s">
        <v>50</v>
      </c>
      <c r="M55">
        <v>942.9</v>
      </c>
      <c r="N55" s="8">
        <v>0.1</v>
      </c>
      <c r="O55" s="11">
        <v>339.44</v>
      </c>
      <c r="Q55" s="11">
        <f t="shared" si="1"/>
        <v>509.17</v>
      </c>
      <c r="AU55" s="11">
        <v>942.9</v>
      </c>
      <c r="AW55" s="27">
        <f t="shared" si="2"/>
        <v>-0.13161522961077529</v>
      </c>
      <c r="BA55" t="s">
        <v>50</v>
      </c>
      <c r="BB55">
        <v>942.9</v>
      </c>
    </row>
    <row r="56" spans="1:54" ht="15.75" customHeight="1" x14ac:dyDescent="0.3">
      <c r="A56" s="22" t="s">
        <v>34</v>
      </c>
      <c r="B56" s="6" t="s">
        <v>40</v>
      </c>
      <c r="C56" s="6" t="s">
        <v>26</v>
      </c>
      <c r="D56" s="6" t="s">
        <v>23</v>
      </c>
      <c r="E56" s="13">
        <v>818.8</v>
      </c>
      <c r="F56" s="6">
        <v>15</v>
      </c>
      <c r="G56" s="6">
        <v>0.15</v>
      </c>
      <c r="H56" s="33">
        <f t="shared" si="0"/>
        <v>6</v>
      </c>
      <c r="I56" s="19">
        <v>45468</v>
      </c>
      <c r="J56" s="13">
        <v>173.99</v>
      </c>
      <c r="L56" t="s">
        <v>40</v>
      </c>
      <c r="M56">
        <v>818.8</v>
      </c>
      <c r="N56" s="8">
        <v>0.15</v>
      </c>
      <c r="O56" s="11">
        <v>173.99</v>
      </c>
      <c r="Q56" s="11">
        <f t="shared" si="1"/>
        <v>521.9899999999999</v>
      </c>
      <c r="AU56" s="11">
        <v>818.8</v>
      </c>
      <c r="AW56" s="27">
        <f t="shared" si="2"/>
        <v>0.12242305813385444</v>
      </c>
      <c r="BA56" t="s">
        <v>40</v>
      </c>
      <c r="BB56">
        <v>818.8</v>
      </c>
    </row>
    <row r="57" spans="1:54" ht="15.75" customHeight="1" x14ac:dyDescent="0.3">
      <c r="A57" s="22" t="s">
        <v>21</v>
      </c>
      <c r="B57" s="6" t="s">
        <v>16</v>
      </c>
      <c r="C57" s="6" t="s">
        <v>22</v>
      </c>
      <c r="D57" s="6" t="s">
        <v>29</v>
      </c>
      <c r="E57" s="13">
        <v>919.04</v>
      </c>
      <c r="F57" s="6">
        <v>10</v>
      </c>
      <c r="G57" s="6">
        <v>0.2</v>
      </c>
      <c r="H57" s="33">
        <f t="shared" si="0"/>
        <v>6</v>
      </c>
      <c r="I57" s="19">
        <v>45468</v>
      </c>
      <c r="J57" s="13">
        <v>257.33</v>
      </c>
      <c r="L57" t="s">
        <v>16</v>
      </c>
      <c r="M57">
        <v>919.04</v>
      </c>
      <c r="N57" s="8">
        <v>0.2</v>
      </c>
      <c r="O57" s="11">
        <v>257.33</v>
      </c>
      <c r="Q57" s="11">
        <f t="shared" si="1"/>
        <v>477.90199999999999</v>
      </c>
      <c r="AU57" s="11">
        <v>919.04</v>
      </c>
      <c r="AW57" s="27">
        <f t="shared" si="2"/>
        <v>5.8996344011142093E-2</v>
      </c>
      <c r="BA57" t="s">
        <v>16</v>
      </c>
      <c r="BB57">
        <v>919.04</v>
      </c>
    </row>
    <row r="58" spans="1:54" ht="15.75" customHeight="1" x14ac:dyDescent="0.3">
      <c r="A58" s="22" t="s">
        <v>24</v>
      </c>
      <c r="B58" s="6" t="s">
        <v>68</v>
      </c>
      <c r="C58" s="6" t="s">
        <v>36</v>
      </c>
      <c r="D58" s="6" t="s">
        <v>14</v>
      </c>
      <c r="E58" s="13">
        <v>973.26</v>
      </c>
      <c r="F58" s="6">
        <v>11</v>
      </c>
      <c r="G58" s="6">
        <v>0</v>
      </c>
      <c r="H58" s="33">
        <f t="shared" si="0"/>
        <v>6</v>
      </c>
      <c r="I58" s="19">
        <v>45470</v>
      </c>
      <c r="J58" s="13">
        <v>389.3</v>
      </c>
      <c r="L58" t="s">
        <v>68</v>
      </c>
      <c r="M58">
        <v>973.26</v>
      </c>
      <c r="N58" s="8">
        <v>0</v>
      </c>
      <c r="O58" s="11">
        <v>389.3</v>
      </c>
      <c r="Q58" s="11">
        <f t="shared" si="1"/>
        <v>583.96</v>
      </c>
      <c r="AU58" s="11">
        <v>973.26</v>
      </c>
      <c r="AW58" s="27">
        <f t="shared" si="2"/>
        <v>-0.23801450794237919</v>
      </c>
      <c r="BA58" t="s">
        <v>68</v>
      </c>
      <c r="BB58">
        <v>973.26</v>
      </c>
    </row>
    <row r="59" spans="1:54" ht="15.75" customHeight="1" x14ac:dyDescent="0.3">
      <c r="A59" s="22" t="s">
        <v>43</v>
      </c>
      <c r="B59" s="6" t="s">
        <v>66</v>
      </c>
      <c r="C59" s="6" t="s">
        <v>26</v>
      </c>
      <c r="D59" s="6" t="s">
        <v>23</v>
      </c>
      <c r="E59" s="13">
        <v>741.61</v>
      </c>
      <c r="F59" s="6">
        <v>1</v>
      </c>
      <c r="G59" s="6">
        <v>0.2</v>
      </c>
      <c r="H59" s="33">
        <f t="shared" si="0"/>
        <v>6</v>
      </c>
      <c r="I59" s="19">
        <v>45471</v>
      </c>
      <c r="J59" s="13">
        <v>148.32</v>
      </c>
      <c r="L59" t="s">
        <v>66</v>
      </c>
      <c r="M59">
        <v>741.61</v>
      </c>
      <c r="N59" s="8">
        <v>0.2</v>
      </c>
      <c r="O59" s="11">
        <v>148.32</v>
      </c>
      <c r="Q59" s="11">
        <f t="shared" si="1"/>
        <v>444.96800000000002</v>
      </c>
      <c r="AU59" s="11">
        <v>741.61</v>
      </c>
      <c r="AW59" s="27">
        <f t="shared" si="2"/>
        <v>0.68393090708054083</v>
      </c>
      <c r="BA59" t="s">
        <v>66</v>
      </c>
      <c r="BB59">
        <v>741.61</v>
      </c>
    </row>
    <row r="60" spans="1:54" ht="15.75" customHeight="1" x14ac:dyDescent="0.3">
      <c r="A60" s="22" t="s">
        <v>69</v>
      </c>
      <c r="B60" s="6" t="s">
        <v>40</v>
      </c>
      <c r="C60" s="6" t="s">
        <v>26</v>
      </c>
      <c r="D60" s="6" t="s">
        <v>14</v>
      </c>
      <c r="E60" s="13">
        <v>1248.82</v>
      </c>
      <c r="F60" s="6">
        <v>2</v>
      </c>
      <c r="G60" s="6">
        <v>0.1</v>
      </c>
      <c r="H60" s="33">
        <f t="shared" si="0"/>
        <v>6</v>
      </c>
      <c r="I60" s="19">
        <v>45473</v>
      </c>
      <c r="J60" s="13">
        <v>449.58</v>
      </c>
      <c r="L60" t="s">
        <v>40</v>
      </c>
      <c r="M60">
        <v>1248.82</v>
      </c>
      <c r="N60" s="8">
        <v>0.1</v>
      </c>
      <c r="O60" s="11">
        <v>449.58</v>
      </c>
      <c r="Q60" s="11">
        <f t="shared" si="1"/>
        <v>674.35799999999995</v>
      </c>
      <c r="AU60" s="11">
        <v>1248.82</v>
      </c>
      <c r="AW60" s="27">
        <f t="shared" si="2"/>
        <v>8.9316314600983299E-2</v>
      </c>
      <c r="BA60" t="s">
        <v>40</v>
      </c>
      <c r="BB60">
        <v>1248.82</v>
      </c>
    </row>
    <row r="61" spans="1:54" ht="15.75" customHeight="1" x14ac:dyDescent="0.3">
      <c r="A61" s="22" t="s">
        <v>15</v>
      </c>
      <c r="B61" s="6" t="s">
        <v>61</v>
      </c>
      <c r="C61" s="6" t="s">
        <v>13</v>
      </c>
      <c r="D61" s="6" t="s">
        <v>17</v>
      </c>
      <c r="E61" s="13">
        <v>1360.36</v>
      </c>
      <c r="F61" s="6">
        <v>17</v>
      </c>
      <c r="G61" s="6">
        <v>0</v>
      </c>
      <c r="H61" s="33">
        <f t="shared" si="0"/>
        <v>6</v>
      </c>
      <c r="I61" s="19">
        <v>45473</v>
      </c>
      <c r="J61" s="13">
        <v>680.18</v>
      </c>
      <c r="L61" t="s">
        <v>61</v>
      </c>
      <c r="M61">
        <v>1360.36</v>
      </c>
      <c r="N61" s="8">
        <v>0</v>
      </c>
      <c r="O61" s="11">
        <v>680.18</v>
      </c>
      <c r="Q61" s="11">
        <f t="shared" si="1"/>
        <v>680.18</v>
      </c>
      <c r="AU61" s="11">
        <v>1360.36</v>
      </c>
      <c r="AW61" s="27">
        <f t="shared" si="2"/>
        <v>1.6863183275015479E-2</v>
      </c>
      <c r="BA61" t="s">
        <v>61</v>
      </c>
      <c r="BB61">
        <v>1360.36</v>
      </c>
    </row>
    <row r="62" spans="1:54" ht="15.75" customHeight="1" x14ac:dyDescent="0.3">
      <c r="A62" s="22" t="s">
        <v>59</v>
      </c>
      <c r="B62" s="6" t="s">
        <v>33</v>
      </c>
      <c r="C62" s="6" t="s">
        <v>20</v>
      </c>
      <c r="D62" s="6" t="s">
        <v>14</v>
      </c>
      <c r="E62" s="13">
        <v>1383.3</v>
      </c>
      <c r="F62" s="6">
        <v>8</v>
      </c>
      <c r="G62" s="6">
        <v>0.1</v>
      </c>
      <c r="H62" s="33">
        <f t="shared" si="0"/>
        <v>7</v>
      </c>
      <c r="I62" s="19">
        <v>45478</v>
      </c>
      <c r="J62" s="13">
        <v>497.99</v>
      </c>
      <c r="L62" t="s">
        <v>33</v>
      </c>
      <c r="M62">
        <v>1383.3</v>
      </c>
      <c r="N62" s="8">
        <v>0.1</v>
      </c>
      <c r="O62" s="11">
        <v>497.99</v>
      </c>
      <c r="Q62" s="11">
        <f t="shared" si="1"/>
        <v>746.98</v>
      </c>
      <c r="AU62" s="11">
        <v>1383.3</v>
      </c>
      <c r="AW62" s="27">
        <f t="shared" si="2"/>
        <v>-0.64650473505385675</v>
      </c>
      <c r="BA62" t="s">
        <v>33</v>
      </c>
      <c r="BB62">
        <v>1383.3</v>
      </c>
    </row>
    <row r="63" spans="1:54" ht="15.75" customHeight="1" x14ac:dyDescent="0.3">
      <c r="A63" s="22" t="s">
        <v>37</v>
      </c>
      <c r="B63" s="6" t="s">
        <v>57</v>
      </c>
      <c r="C63" s="6" t="s">
        <v>36</v>
      </c>
      <c r="D63" s="6" t="s">
        <v>41</v>
      </c>
      <c r="E63" s="13">
        <v>488.99</v>
      </c>
      <c r="F63" s="6">
        <v>9</v>
      </c>
      <c r="G63" s="6">
        <v>0</v>
      </c>
      <c r="H63" s="33">
        <f t="shared" si="0"/>
        <v>7</v>
      </c>
      <c r="I63" s="19">
        <v>45479</v>
      </c>
      <c r="J63" s="13">
        <v>220.05</v>
      </c>
      <c r="L63" t="s">
        <v>57</v>
      </c>
      <c r="M63">
        <v>488.99</v>
      </c>
      <c r="N63" s="8">
        <v>0</v>
      </c>
      <c r="O63" s="11">
        <v>220.05</v>
      </c>
      <c r="Q63" s="11">
        <f t="shared" si="1"/>
        <v>268.94</v>
      </c>
      <c r="AU63" s="11">
        <v>488.99</v>
      </c>
      <c r="AW63" s="27">
        <f t="shared" si="2"/>
        <v>0.90946645125667192</v>
      </c>
      <c r="BA63" t="s">
        <v>57</v>
      </c>
      <c r="BB63">
        <v>488.99</v>
      </c>
    </row>
    <row r="64" spans="1:54" ht="15.75" customHeight="1" x14ac:dyDescent="0.3">
      <c r="A64" s="22" t="s">
        <v>32</v>
      </c>
      <c r="B64" s="6" t="s">
        <v>33</v>
      </c>
      <c r="C64" s="6" t="s">
        <v>20</v>
      </c>
      <c r="D64" s="6" t="s">
        <v>29</v>
      </c>
      <c r="E64" s="13">
        <v>933.71</v>
      </c>
      <c r="F64" s="6">
        <v>17</v>
      </c>
      <c r="G64" s="6">
        <v>0.1</v>
      </c>
      <c r="H64" s="33">
        <f t="shared" si="0"/>
        <v>7</v>
      </c>
      <c r="I64" s="19">
        <v>45481</v>
      </c>
      <c r="J64" s="13">
        <v>294.12</v>
      </c>
      <c r="L64" t="s">
        <v>33</v>
      </c>
      <c r="M64">
        <v>933.71</v>
      </c>
      <c r="N64" s="8">
        <v>0.1</v>
      </c>
      <c r="O64" s="11">
        <v>294.12</v>
      </c>
      <c r="Q64" s="11">
        <f t="shared" si="1"/>
        <v>546.21900000000005</v>
      </c>
      <c r="AU64" s="11">
        <v>933.71</v>
      </c>
      <c r="AW64" s="27">
        <f t="shared" si="2"/>
        <v>7.6918957706354152E-2</v>
      </c>
      <c r="BA64" t="s">
        <v>33</v>
      </c>
      <c r="BB64">
        <v>933.71</v>
      </c>
    </row>
    <row r="65" spans="1:54" ht="15.75" customHeight="1" x14ac:dyDescent="0.3">
      <c r="A65" s="22" t="s">
        <v>69</v>
      </c>
      <c r="B65" s="6" t="s">
        <v>12</v>
      </c>
      <c r="C65" s="6" t="s">
        <v>13</v>
      </c>
      <c r="D65" s="6" t="s">
        <v>23</v>
      </c>
      <c r="E65" s="13">
        <v>1005.53</v>
      </c>
      <c r="F65" s="6">
        <v>17</v>
      </c>
      <c r="G65" s="6">
        <v>0.2</v>
      </c>
      <c r="H65" s="33">
        <f t="shared" si="0"/>
        <v>7</v>
      </c>
      <c r="I65" s="19">
        <v>45481</v>
      </c>
      <c r="J65" s="13">
        <v>201.11</v>
      </c>
      <c r="L65" t="s">
        <v>12</v>
      </c>
      <c r="M65">
        <v>1005.53</v>
      </c>
      <c r="N65" s="8">
        <v>0.2</v>
      </c>
      <c r="O65" s="11">
        <v>201.11</v>
      </c>
      <c r="Q65" s="11">
        <f t="shared" si="1"/>
        <v>603.31399999999996</v>
      </c>
      <c r="AU65" s="11">
        <v>1005.53</v>
      </c>
      <c r="AW65" s="27">
        <f t="shared" si="2"/>
        <v>9.4049904030710119E-2</v>
      </c>
      <c r="BA65" t="s">
        <v>12</v>
      </c>
      <c r="BB65">
        <v>1005.53</v>
      </c>
    </row>
    <row r="66" spans="1:54" ht="15.75" customHeight="1" x14ac:dyDescent="0.3">
      <c r="A66" s="22" t="s">
        <v>43</v>
      </c>
      <c r="B66" s="6" t="s">
        <v>63</v>
      </c>
      <c r="C66" s="6" t="s">
        <v>22</v>
      </c>
      <c r="D66" s="6" t="s">
        <v>23</v>
      </c>
      <c r="E66" s="13">
        <v>1100.0999999999999</v>
      </c>
      <c r="F66" s="6">
        <v>5</v>
      </c>
      <c r="G66" s="6">
        <v>0.05</v>
      </c>
      <c r="H66" s="33">
        <f t="shared" si="0"/>
        <v>7</v>
      </c>
      <c r="I66" s="19">
        <v>45482</v>
      </c>
      <c r="J66" s="13">
        <v>261.27</v>
      </c>
      <c r="L66" t="s">
        <v>63</v>
      </c>
      <c r="M66">
        <v>1100.0999999999999</v>
      </c>
      <c r="N66" s="8">
        <v>0.05</v>
      </c>
      <c r="O66" s="11">
        <v>261.27</v>
      </c>
      <c r="Q66" s="11">
        <f t="shared" si="1"/>
        <v>783.82499999999982</v>
      </c>
      <c r="AU66" s="11">
        <v>1100.0999999999999</v>
      </c>
      <c r="AW66" s="27">
        <f t="shared" si="2"/>
        <v>-5.9449140987182868E-2</v>
      </c>
      <c r="BA66" t="s">
        <v>63</v>
      </c>
      <c r="BB66">
        <v>1100.0999999999999</v>
      </c>
    </row>
    <row r="67" spans="1:54" ht="15.75" customHeight="1" x14ac:dyDescent="0.3">
      <c r="A67" s="22" t="s">
        <v>69</v>
      </c>
      <c r="B67" s="6" t="s">
        <v>25</v>
      </c>
      <c r="C67" s="6" t="s">
        <v>26</v>
      </c>
      <c r="D67" s="6" t="s">
        <v>29</v>
      </c>
      <c r="E67" s="13">
        <v>1034.7</v>
      </c>
      <c r="F67" s="6">
        <v>15</v>
      </c>
      <c r="G67" s="6">
        <v>0.15</v>
      </c>
      <c r="H67" s="33">
        <f t="shared" ref="H67:H130" si="3">MONTH(I67)</f>
        <v>7</v>
      </c>
      <c r="I67" s="19">
        <v>45487</v>
      </c>
      <c r="J67" s="13">
        <v>307.82</v>
      </c>
      <c r="L67" t="s">
        <v>25</v>
      </c>
      <c r="M67">
        <v>1034.7</v>
      </c>
      <c r="N67" s="8">
        <v>0.15</v>
      </c>
      <c r="O67" s="11">
        <v>307.82</v>
      </c>
      <c r="Q67" s="11">
        <f t="shared" ref="Q67:Q130" si="4">E67*(1-N67)-O67</f>
        <v>571.67499999999995</v>
      </c>
      <c r="AU67" s="11">
        <v>1034.7</v>
      </c>
      <c r="AW67" s="27">
        <f t="shared" ref="AW67:AW130" si="5">(AU68-AU67)/AU67</f>
        <v>-0.15295254663187396</v>
      </c>
      <c r="BA67" t="s">
        <v>25</v>
      </c>
      <c r="BB67">
        <v>1034.7</v>
      </c>
    </row>
    <row r="68" spans="1:54" ht="15.75" customHeight="1" x14ac:dyDescent="0.3">
      <c r="A68" s="22" t="s">
        <v>67</v>
      </c>
      <c r="B68" s="6" t="s">
        <v>33</v>
      </c>
      <c r="C68" s="6" t="s">
        <v>22</v>
      </c>
      <c r="D68" s="6" t="s">
        <v>14</v>
      </c>
      <c r="E68" s="13">
        <v>876.44</v>
      </c>
      <c r="F68" s="6">
        <v>12</v>
      </c>
      <c r="G68" s="6">
        <v>0.05</v>
      </c>
      <c r="H68" s="33">
        <f t="shared" si="3"/>
        <v>7</v>
      </c>
      <c r="I68" s="19">
        <v>45488</v>
      </c>
      <c r="J68" s="13">
        <v>333.05</v>
      </c>
      <c r="L68" t="s">
        <v>33</v>
      </c>
      <c r="M68">
        <v>876.44</v>
      </c>
      <c r="N68" s="8">
        <v>0.05</v>
      </c>
      <c r="O68" s="11">
        <v>333.05</v>
      </c>
      <c r="Q68" s="11">
        <f t="shared" si="4"/>
        <v>499.56800000000004</v>
      </c>
      <c r="AU68" s="11">
        <v>876.44</v>
      </c>
      <c r="AW68" s="27">
        <f t="shared" si="5"/>
        <v>0.56467071334033114</v>
      </c>
      <c r="BA68" t="s">
        <v>33</v>
      </c>
      <c r="BB68">
        <v>876.44</v>
      </c>
    </row>
    <row r="69" spans="1:54" ht="15.75" customHeight="1" x14ac:dyDescent="0.3">
      <c r="A69" s="22" t="s">
        <v>70</v>
      </c>
      <c r="B69" s="6" t="s">
        <v>57</v>
      </c>
      <c r="C69" s="6" t="s">
        <v>13</v>
      </c>
      <c r="D69" s="6" t="s">
        <v>29</v>
      </c>
      <c r="E69" s="13">
        <v>1371.34</v>
      </c>
      <c r="F69" s="6">
        <v>5</v>
      </c>
      <c r="G69" s="6">
        <v>0.05</v>
      </c>
      <c r="H69" s="33">
        <f t="shared" si="3"/>
        <v>7</v>
      </c>
      <c r="I69" s="19">
        <v>45488</v>
      </c>
      <c r="J69" s="13">
        <v>455.97</v>
      </c>
      <c r="L69" t="s">
        <v>57</v>
      </c>
      <c r="M69">
        <v>1371.34</v>
      </c>
      <c r="N69" s="8">
        <v>0.05</v>
      </c>
      <c r="O69" s="11">
        <v>455.97</v>
      </c>
      <c r="Q69" s="11">
        <f t="shared" si="4"/>
        <v>846.80299999999988</v>
      </c>
      <c r="AU69" s="11">
        <v>1371.34</v>
      </c>
      <c r="AW69" s="27">
        <f t="shared" si="5"/>
        <v>-0.25601236746539879</v>
      </c>
      <c r="BA69" t="s">
        <v>57</v>
      </c>
      <c r="BB69">
        <v>1371.34</v>
      </c>
    </row>
    <row r="70" spans="1:54" ht="15.75" customHeight="1" x14ac:dyDescent="0.3">
      <c r="A70" s="22" t="s">
        <v>59</v>
      </c>
      <c r="B70" s="6" t="s">
        <v>49</v>
      </c>
      <c r="C70" s="6" t="s">
        <v>26</v>
      </c>
      <c r="D70" s="6" t="s">
        <v>23</v>
      </c>
      <c r="E70" s="13">
        <v>1020.26</v>
      </c>
      <c r="F70" s="6">
        <v>11</v>
      </c>
      <c r="G70" s="6">
        <v>0.05</v>
      </c>
      <c r="H70" s="33">
        <f t="shared" si="3"/>
        <v>7</v>
      </c>
      <c r="I70" s="19">
        <v>45494</v>
      </c>
      <c r="J70" s="13">
        <v>242.31</v>
      </c>
      <c r="L70" t="s">
        <v>49</v>
      </c>
      <c r="M70">
        <v>1020.26</v>
      </c>
      <c r="N70" s="8">
        <v>0.05</v>
      </c>
      <c r="O70" s="11">
        <v>242.31</v>
      </c>
      <c r="Q70" s="11">
        <f t="shared" si="4"/>
        <v>726.9369999999999</v>
      </c>
      <c r="AU70" s="11">
        <v>1020.26</v>
      </c>
      <c r="AW70" s="27">
        <f t="shared" si="5"/>
        <v>-0.21117166212534064</v>
      </c>
      <c r="BA70" t="s">
        <v>49</v>
      </c>
      <c r="BB70">
        <v>1020.26</v>
      </c>
    </row>
    <row r="71" spans="1:54" ht="15.75" customHeight="1" x14ac:dyDescent="0.3">
      <c r="A71" s="22" t="s">
        <v>46</v>
      </c>
      <c r="B71" s="6" t="s">
        <v>12</v>
      </c>
      <c r="C71" s="6" t="s">
        <v>36</v>
      </c>
      <c r="D71" s="6" t="s">
        <v>41</v>
      </c>
      <c r="E71" s="13">
        <v>804.81</v>
      </c>
      <c r="F71" s="6">
        <v>1</v>
      </c>
      <c r="G71" s="6">
        <v>0.05</v>
      </c>
      <c r="H71" s="33">
        <f t="shared" si="3"/>
        <v>7</v>
      </c>
      <c r="I71" s="19">
        <v>45502</v>
      </c>
      <c r="J71" s="13">
        <v>344.06</v>
      </c>
      <c r="L71" t="s">
        <v>12</v>
      </c>
      <c r="M71">
        <v>804.81</v>
      </c>
      <c r="N71" s="8">
        <v>0.05</v>
      </c>
      <c r="O71" s="11">
        <v>344.06</v>
      </c>
      <c r="Q71" s="11">
        <f t="shared" si="4"/>
        <v>420.50949999999995</v>
      </c>
      <c r="AU71" s="11">
        <v>804.81</v>
      </c>
      <c r="AW71" s="27">
        <f t="shared" si="5"/>
        <v>-0.24372212074899666</v>
      </c>
      <c r="BA71" t="s">
        <v>12</v>
      </c>
      <c r="BB71">
        <v>804.81</v>
      </c>
    </row>
    <row r="72" spans="1:54" ht="15.75" customHeight="1" x14ac:dyDescent="0.3">
      <c r="A72" s="22" t="s">
        <v>24</v>
      </c>
      <c r="B72" s="6" t="s">
        <v>57</v>
      </c>
      <c r="C72" s="6" t="s">
        <v>36</v>
      </c>
      <c r="D72" s="6" t="s">
        <v>23</v>
      </c>
      <c r="E72" s="13">
        <v>608.66</v>
      </c>
      <c r="F72" s="6">
        <v>1</v>
      </c>
      <c r="G72" s="6">
        <v>0.05</v>
      </c>
      <c r="H72" s="33">
        <f t="shared" si="3"/>
        <v>7</v>
      </c>
      <c r="I72" s="19">
        <v>45503</v>
      </c>
      <c r="J72" s="13">
        <v>144.56</v>
      </c>
      <c r="L72" t="s">
        <v>57</v>
      </c>
      <c r="M72">
        <v>608.66</v>
      </c>
      <c r="N72" s="8">
        <v>0.05</v>
      </c>
      <c r="O72" s="11">
        <v>144.56</v>
      </c>
      <c r="Q72" s="11">
        <f t="shared" si="4"/>
        <v>433.66699999999997</v>
      </c>
      <c r="AU72" s="11">
        <v>608.66</v>
      </c>
      <c r="AW72" s="27">
        <f t="shared" si="5"/>
        <v>0.61206584957118937</v>
      </c>
      <c r="BA72" t="s">
        <v>57</v>
      </c>
      <c r="BB72">
        <v>608.66</v>
      </c>
    </row>
    <row r="73" spans="1:54" ht="15.75" customHeight="1" x14ac:dyDescent="0.3">
      <c r="A73" s="22" t="s">
        <v>70</v>
      </c>
      <c r="B73" s="6" t="s">
        <v>71</v>
      </c>
      <c r="C73" s="6" t="s">
        <v>22</v>
      </c>
      <c r="D73" s="6" t="s">
        <v>41</v>
      </c>
      <c r="E73" s="13">
        <v>981.2</v>
      </c>
      <c r="F73" s="6">
        <v>19</v>
      </c>
      <c r="G73" s="6">
        <v>0</v>
      </c>
      <c r="H73" s="33">
        <f t="shared" si="3"/>
        <v>7</v>
      </c>
      <c r="I73" s="19">
        <v>45504</v>
      </c>
      <c r="J73" s="13">
        <v>441.54</v>
      </c>
      <c r="L73" t="s">
        <v>71</v>
      </c>
      <c r="M73">
        <v>981.2</v>
      </c>
      <c r="N73" s="8">
        <v>0</v>
      </c>
      <c r="O73" s="11">
        <v>441.54</v>
      </c>
      <c r="Q73" s="11">
        <f t="shared" si="4"/>
        <v>539.66000000000008</v>
      </c>
      <c r="AU73" s="11">
        <v>981.2</v>
      </c>
      <c r="AW73" s="27">
        <f t="shared" si="5"/>
        <v>-0.44988789237668164</v>
      </c>
      <c r="BA73" t="s">
        <v>71</v>
      </c>
      <c r="BB73">
        <v>981.2</v>
      </c>
    </row>
    <row r="74" spans="1:54" ht="15.75" customHeight="1" x14ac:dyDescent="0.3">
      <c r="A74" s="22" t="s">
        <v>72</v>
      </c>
      <c r="B74" s="6" t="s">
        <v>57</v>
      </c>
      <c r="C74" s="6" t="s">
        <v>20</v>
      </c>
      <c r="D74" s="6" t="s">
        <v>23</v>
      </c>
      <c r="E74" s="13">
        <v>539.77</v>
      </c>
      <c r="F74" s="6">
        <v>10</v>
      </c>
      <c r="G74" s="6">
        <v>0.15</v>
      </c>
      <c r="H74" s="33">
        <f t="shared" si="3"/>
        <v>8</v>
      </c>
      <c r="I74" s="19">
        <v>45509</v>
      </c>
      <c r="J74" s="13">
        <v>114.7</v>
      </c>
      <c r="L74" t="s">
        <v>57</v>
      </c>
      <c r="M74">
        <v>539.77</v>
      </c>
      <c r="N74" s="8">
        <v>0.15</v>
      </c>
      <c r="O74" s="11">
        <v>114.7</v>
      </c>
      <c r="Q74" s="11">
        <f t="shared" si="4"/>
        <v>344.10449999999997</v>
      </c>
      <c r="AU74" s="11">
        <v>539.77</v>
      </c>
      <c r="AW74" s="27">
        <f t="shared" si="5"/>
        <v>0.4903570039090725</v>
      </c>
      <c r="BA74" t="s">
        <v>57</v>
      </c>
      <c r="BB74">
        <v>539.77</v>
      </c>
    </row>
    <row r="75" spans="1:54" ht="15.75" customHeight="1" x14ac:dyDescent="0.3">
      <c r="A75" s="22" t="s">
        <v>15</v>
      </c>
      <c r="B75" s="6" t="s">
        <v>73</v>
      </c>
      <c r="C75" s="6" t="s">
        <v>22</v>
      </c>
      <c r="D75" s="6" t="s">
        <v>14</v>
      </c>
      <c r="E75" s="13">
        <v>804.45</v>
      </c>
      <c r="F75" s="6">
        <v>5</v>
      </c>
      <c r="G75" s="6">
        <v>0.2</v>
      </c>
      <c r="H75" s="33">
        <f t="shared" si="3"/>
        <v>8</v>
      </c>
      <c r="I75" s="19">
        <v>45509</v>
      </c>
      <c r="J75" s="13">
        <v>257.42</v>
      </c>
      <c r="L75" t="s">
        <v>73</v>
      </c>
      <c r="M75">
        <v>804.45</v>
      </c>
      <c r="N75" s="8">
        <v>0.2</v>
      </c>
      <c r="O75" s="11">
        <v>257.42</v>
      </c>
      <c r="Q75" s="11">
        <f t="shared" si="4"/>
        <v>386.14000000000004</v>
      </c>
      <c r="AU75" s="11">
        <v>804.45</v>
      </c>
      <c r="AW75" s="27">
        <f t="shared" si="5"/>
        <v>0.8976940766983651</v>
      </c>
      <c r="BA75" t="s">
        <v>73</v>
      </c>
      <c r="BB75">
        <v>804.45</v>
      </c>
    </row>
    <row r="76" spans="1:54" ht="15.75" customHeight="1" x14ac:dyDescent="0.3">
      <c r="A76" s="22" t="s">
        <v>72</v>
      </c>
      <c r="B76" s="6" t="s">
        <v>40</v>
      </c>
      <c r="C76" s="6" t="s">
        <v>13</v>
      </c>
      <c r="D76" s="6" t="s">
        <v>23</v>
      </c>
      <c r="E76" s="13">
        <v>1526.6</v>
      </c>
      <c r="F76" s="6">
        <v>13</v>
      </c>
      <c r="G76" s="6">
        <v>0.2</v>
      </c>
      <c r="H76" s="33">
        <f t="shared" si="3"/>
        <v>8</v>
      </c>
      <c r="I76" s="19">
        <v>45512</v>
      </c>
      <c r="J76" s="13">
        <v>305.32</v>
      </c>
      <c r="L76" t="s">
        <v>40</v>
      </c>
      <c r="M76">
        <v>1526.6</v>
      </c>
      <c r="N76" s="8">
        <v>0.2</v>
      </c>
      <c r="O76" s="11">
        <v>305.32</v>
      </c>
      <c r="Q76" s="11">
        <f t="shared" si="4"/>
        <v>915.96</v>
      </c>
      <c r="AU76" s="11">
        <v>1526.6</v>
      </c>
      <c r="AW76" s="27">
        <f t="shared" si="5"/>
        <v>-0.20394340364208041</v>
      </c>
      <c r="BA76" t="s">
        <v>40</v>
      </c>
      <c r="BB76">
        <v>1526.6</v>
      </c>
    </row>
    <row r="77" spans="1:54" ht="15.75" customHeight="1" x14ac:dyDescent="0.3">
      <c r="A77" s="22" t="s">
        <v>15</v>
      </c>
      <c r="B77" s="6" t="s">
        <v>31</v>
      </c>
      <c r="C77" s="6" t="s">
        <v>13</v>
      </c>
      <c r="D77" s="6" t="s">
        <v>23</v>
      </c>
      <c r="E77" s="13">
        <v>1215.26</v>
      </c>
      <c r="F77" s="6">
        <v>5</v>
      </c>
      <c r="G77" s="6">
        <v>0.15</v>
      </c>
      <c r="H77" s="33">
        <f t="shared" si="3"/>
        <v>8</v>
      </c>
      <c r="I77" s="19">
        <v>45513</v>
      </c>
      <c r="J77" s="13">
        <v>258.24</v>
      </c>
      <c r="L77" t="s">
        <v>31</v>
      </c>
      <c r="M77">
        <v>1215.26</v>
      </c>
      <c r="N77" s="8">
        <v>0.15</v>
      </c>
      <c r="O77" s="11">
        <v>258.24</v>
      </c>
      <c r="Q77" s="11">
        <f t="shared" si="4"/>
        <v>774.73099999999999</v>
      </c>
      <c r="AU77" s="11">
        <v>1215.26</v>
      </c>
      <c r="AW77" s="27">
        <f t="shared" si="5"/>
        <v>3.79178118262758E-2</v>
      </c>
      <c r="BA77" t="s">
        <v>31</v>
      </c>
      <c r="BB77">
        <v>1215.26</v>
      </c>
    </row>
    <row r="78" spans="1:54" ht="15.75" customHeight="1" x14ac:dyDescent="0.3">
      <c r="A78" s="22" t="s">
        <v>21</v>
      </c>
      <c r="B78" s="6" t="s">
        <v>55</v>
      </c>
      <c r="C78" s="6" t="s">
        <v>36</v>
      </c>
      <c r="D78" s="6" t="s">
        <v>29</v>
      </c>
      <c r="E78" s="13">
        <v>1261.3399999999999</v>
      </c>
      <c r="F78" s="6">
        <v>3</v>
      </c>
      <c r="G78" s="6">
        <v>0</v>
      </c>
      <c r="H78" s="33">
        <f t="shared" si="3"/>
        <v>8</v>
      </c>
      <c r="I78" s="19">
        <v>45519</v>
      </c>
      <c r="J78" s="13">
        <v>441.47</v>
      </c>
      <c r="L78" t="s">
        <v>55</v>
      </c>
      <c r="M78">
        <v>1261.3399999999999</v>
      </c>
      <c r="N78" s="8">
        <v>0</v>
      </c>
      <c r="O78" s="11">
        <v>441.47</v>
      </c>
      <c r="Q78" s="11">
        <f t="shared" si="4"/>
        <v>819.86999999999989</v>
      </c>
      <c r="AU78" s="11">
        <v>1261.3399999999999</v>
      </c>
      <c r="AW78" s="27">
        <f t="shared" si="5"/>
        <v>-0.589270141278323</v>
      </c>
      <c r="BA78" t="s">
        <v>55</v>
      </c>
      <c r="BB78">
        <v>1261.3399999999999</v>
      </c>
    </row>
    <row r="79" spans="1:54" ht="15.75" customHeight="1" x14ac:dyDescent="0.3">
      <c r="A79" s="22" t="s">
        <v>74</v>
      </c>
      <c r="B79" s="6" t="s">
        <v>47</v>
      </c>
      <c r="C79" s="6" t="s">
        <v>26</v>
      </c>
      <c r="D79" s="6" t="s">
        <v>29</v>
      </c>
      <c r="E79" s="13">
        <v>518.07000000000005</v>
      </c>
      <c r="F79" s="6">
        <v>7</v>
      </c>
      <c r="G79" s="6">
        <v>0.05</v>
      </c>
      <c r="H79" s="33">
        <f t="shared" si="3"/>
        <v>8</v>
      </c>
      <c r="I79" s="19">
        <v>45522</v>
      </c>
      <c r="J79" s="13">
        <v>172.26</v>
      </c>
      <c r="L79" t="s">
        <v>47</v>
      </c>
      <c r="M79">
        <v>518.07000000000005</v>
      </c>
      <c r="N79" s="8">
        <v>0.05</v>
      </c>
      <c r="O79" s="11">
        <v>172.26</v>
      </c>
      <c r="Q79" s="11">
        <f t="shared" si="4"/>
        <v>319.90650000000005</v>
      </c>
      <c r="AU79" s="11">
        <v>518.07000000000005</v>
      </c>
      <c r="AW79" s="27">
        <f t="shared" si="5"/>
        <v>1.1451541297508054</v>
      </c>
      <c r="BA79" t="s">
        <v>47</v>
      </c>
      <c r="BB79">
        <v>518.07000000000005</v>
      </c>
    </row>
    <row r="80" spans="1:54" ht="15.75" customHeight="1" x14ac:dyDescent="0.3">
      <c r="A80" s="22" t="s">
        <v>32</v>
      </c>
      <c r="B80" s="6" t="s">
        <v>31</v>
      </c>
      <c r="C80" s="6" t="s">
        <v>13</v>
      </c>
      <c r="D80" s="6" t="s">
        <v>41</v>
      </c>
      <c r="E80" s="13">
        <v>1111.3399999999999</v>
      </c>
      <c r="F80" s="6">
        <v>1</v>
      </c>
      <c r="G80" s="6">
        <v>0</v>
      </c>
      <c r="H80" s="33">
        <f t="shared" si="3"/>
        <v>8</v>
      </c>
      <c r="I80" s="19">
        <v>45523</v>
      </c>
      <c r="J80" s="13">
        <v>500.1</v>
      </c>
      <c r="L80" t="s">
        <v>31</v>
      </c>
      <c r="M80">
        <v>1111.3399999999999</v>
      </c>
      <c r="N80" s="8">
        <v>0</v>
      </c>
      <c r="O80" s="11">
        <v>500.1</v>
      </c>
      <c r="Q80" s="11">
        <f t="shared" si="4"/>
        <v>611.2399999999999</v>
      </c>
      <c r="AU80" s="11">
        <v>1111.3399999999999</v>
      </c>
      <c r="AW80" s="27">
        <f t="shared" si="5"/>
        <v>0.16208361077618022</v>
      </c>
      <c r="BA80" t="s">
        <v>31</v>
      </c>
      <c r="BB80">
        <v>1111.3399999999999</v>
      </c>
    </row>
    <row r="81" spans="1:54" ht="15.75" customHeight="1" x14ac:dyDescent="0.3">
      <c r="A81" s="22" t="s">
        <v>24</v>
      </c>
      <c r="B81" s="6" t="s">
        <v>33</v>
      </c>
      <c r="C81" s="6" t="s">
        <v>20</v>
      </c>
      <c r="D81" s="6" t="s">
        <v>17</v>
      </c>
      <c r="E81" s="13">
        <v>1291.47</v>
      </c>
      <c r="F81" s="6">
        <v>18</v>
      </c>
      <c r="G81" s="6">
        <v>0.1</v>
      </c>
      <c r="H81" s="33">
        <f t="shared" si="3"/>
        <v>8</v>
      </c>
      <c r="I81" s="19">
        <v>45526</v>
      </c>
      <c r="J81" s="13">
        <v>581.16</v>
      </c>
      <c r="L81" t="s">
        <v>33</v>
      </c>
      <c r="M81">
        <v>1291.47</v>
      </c>
      <c r="N81" s="8">
        <v>0.1</v>
      </c>
      <c r="O81" s="11">
        <v>581.16</v>
      </c>
      <c r="Q81" s="11">
        <f t="shared" si="4"/>
        <v>581.16300000000012</v>
      </c>
      <c r="AU81" s="11">
        <v>1291.47</v>
      </c>
      <c r="AW81" s="27">
        <f t="shared" si="5"/>
        <v>-0.4736927687054287</v>
      </c>
      <c r="BA81" t="s">
        <v>33</v>
      </c>
      <c r="BB81">
        <v>1291.47</v>
      </c>
    </row>
    <row r="82" spans="1:54" ht="15.75" customHeight="1" x14ac:dyDescent="0.3">
      <c r="A82" s="22" t="s">
        <v>27</v>
      </c>
      <c r="B82" s="6" t="s">
        <v>57</v>
      </c>
      <c r="C82" s="6" t="s">
        <v>26</v>
      </c>
      <c r="D82" s="6" t="s">
        <v>14</v>
      </c>
      <c r="E82" s="13">
        <v>679.71</v>
      </c>
      <c r="F82" s="6">
        <v>19</v>
      </c>
      <c r="G82" s="6">
        <v>0</v>
      </c>
      <c r="H82" s="33">
        <f t="shared" si="3"/>
        <v>8</v>
      </c>
      <c r="I82" s="19">
        <v>45534</v>
      </c>
      <c r="J82" s="13">
        <v>271.88</v>
      </c>
      <c r="L82" t="s">
        <v>57</v>
      </c>
      <c r="M82">
        <v>679.71</v>
      </c>
      <c r="N82" s="8">
        <v>0</v>
      </c>
      <c r="O82" s="11">
        <v>271.88</v>
      </c>
      <c r="Q82" s="11">
        <f t="shared" si="4"/>
        <v>407.83000000000004</v>
      </c>
      <c r="AU82" s="11">
        <v>679.71</v>
      </c>
      <c r="AW82" s="27">
        <f t="shared" si="5"/>
        <v>0.68261464448073439</v>
      </c>
      <c r="BA82" t="s">
        <v>57</v>
      </c>
      <c r="BB82">
        <v>679.71</v>
      </c>
    </row>
    <row r="83" spans="1:54" ht="15.75" customHeight="1" x14ac:dyDescent="0.3">
      <c r="A83" s="22" t="s">
        <v>70</v>
      </c>
      <c r="B83" s="6" t="s">
        <v>35</v>
      </c>
      <c r="C83" s="6" t="s">
        <v>20</v>
      </c>
      <c r="D83" s="6" t="s">
        <v>29</v>
      </c>
      <c r="E83" s="13">
        <v>1143.69</v>
      </c>
      <c r="F83" s="6">
        <v>17</v>
      </c>
      <c r="G83" s="6">
        <v>0</v>
      </c>
      <c r="H83" s="33">
        <f t="shared" si="3"/>
        <v>8</v>
      </c>
      <c r="I83" s="19">
        <v>45534</v>
      </c>
      <c r="J83" s="13">
        <v>400.29</v>
      </c>
      <c r="L83" t="s">
        <v>35</v>
      </c>
      <c r="M83">
        <v>1143.69</v>
      </c>
      <c r="N83" s="8">
        <v>0</v>
      </c>
      <c r="O83" s="11">
        <v>400.29</v>
      </c>
      <c r="Q83" s="11">
        <f t="shared" si="4"/>
        <v>743.40000000000009</v>
      </c>
      <c r="AU83" s="11">
        <v>1143.69</v>
      </c>
      <c r="AW83" s="27">
        <f t="shared" si="5"/>
        <v>-0.30918343257351205</v>
      </c>
      <c r="BA83" t="s">
        <v>35</v>
      </c>
      <c r="BB83">
        <v>1143.69</v>
      </c>
    </row>
    <row r="84" spans="1:54" ht="15.75" customHeight="1" x14ac:dyDescent="0.3">
      <c r="A84" s="22" t="s">
        <v>54</v>
      </c>
      <c r="B84" s="6" t="s">
        <v>52</v>
      </c>
      <c r="C84" s="6" t="s">
        <v>36</v>
      </c>
      <c r="D84" s="6" t="s">
        <v>23</v>
      </c>
      <c r="E84" s="13">
        <v>790.08</v>
      </c>
      <c r="F84" s="6">
        <v>7</v>
      </c>
      <c r="G84" s="6">
        <v>0.1</v>
      </c>
      <c r="H84" s="33">
        <f t="shared" si="3"/>
        <v>9</v>
      </c>
      <c r="I84" s="19">
        <v>45536</v>
      </c>
      <c r="J84" s="13">
        <v>177.77</v>
      </c>
      <c r="L84" t="s">
        <v>52</v>
      </c>
      <c r="M84">
        <v>790.08</v>
      </c>
      <c r="N84" s="8">
        <v>0.1</v>
      </c>
      <c r="O84" s="11">
        <v>177.77</v>
      </c>
      <c r="Q84" s="11">
        <f t="shared" si="4"/>
        <v>533.30200000000002</v>
      </c>
      <c r="AU84" s="11">
        <v>790.08</v>
      </c>
      <c r="AW84" s="27">
        <f t="shared" si="5"/>
        <v>0.35515390846496558</v>
      </c>
      <c r="BA84" t="s">
        <v>52</v>
      </c>
      <c r="BB84">
        <v>790.08</v>
      </c>
    </row>
    <row r="85" spans="1:54" ht="15.75" customHeight="1" x14ac:dyDescent="0.3">
      <c r="A85" s="22" t="s">
        <v>21</v>
      </c>
      <c r="B85" s="6" t="s">
        <v>50</v>
      </c>
      <c r="C85" s="6" t="s">
        <v>36</v>
      </c>
      <c r="D85" s="6" t="s">
        <v>14</v>
      </c>
      <c r="E85" s="13">
        <v>1070.68</v>
      </c>
      <c r="F85" s="6">
        <v>7</v>
      </c>
      <c r="G85" s="6">
        <v>0.05</v>
      </c>
      <c r="H85" s="33">
        <f t="shared" si="3"/>
        <v>9</v>
      </c>
      <c r="I85" s="19">
        <v>45536</v>
      </c>
      <c r="J85" s="13">
        <v>406.86</v>
      </c>
      <c r="L85" t="s">
        <v>50</v>
      </c>
      <c r="M85">
        <v>1070.68</v>
      </c>
      <c r="N85" s="8">
        <v>0.05</v>
      </c>
      <c r="O85" s="11">
        <v>406.86</v>
      </c>
      <c r="Q85" s="11">
        <f t="shared" si="4"/>
        <v>610.28599999999994</v>
      </c>
      <c r="AU85" s="11">
        <v>1070.68</v>
      </c>
      <c r="AW85" s="27">
        <f t="shared" si="5"/>
        <v>9.1726753091493279E-2</v>
      </c>
      <c r="BA85" t="s">
        <v>50</v>
      </c>
      <c r="BB85">
        <v>1070.68</v>
      </c>
    </row>
    <row r="86" spans="1:54" ht="15.75" customHeight="1" x14ac:dyDescent="0.3">
      <c r="A86" s="22" t="s">
        <v>60</v>
      </c>
      <c r="B86" s="6" t="s">
        <v>38</v>
      </c>
      <c r="C86" s="6" t="s">
        <v>13</v>
      </c>
      <c r="D86" s="6" t="s">
        <v>17</v>
      </c>
      <c r="E86" s="13">
        <v>1168.8900000000001</v>
      </c>
      <c r="F86" s="6">
        <v>4</v>
      </c>
      <c r="G86" s="6">
        <v>0.1</v>
      </c>
      <c r="H86" s="33">
        <f t="shared" si="3"/>
        <v>9</v>
      </c>
      <c r="I86" s="19">
        <v>45544</v>
      </c>
      <c r="J86" s="13">
        <v>526</v>
      </c>
      <c r="L86" t="s">
        <v>38</v>
      </c>
      <c r="M86">
        <v>1168.8900000000001</v>
      </c>
      <c r="N86" s="8">
        <v>0.1</v>
      </c>
      <c r="O86" s="11">
        <v>526</v>
      </c>
      <c r="Q86" s="11">
        <f t="shared" si="4"/>
        <v>526.0010000000002</v>
      </c>
      <c r="AU86" s="11">
        <v>1168.8900000000001</v>
      </c>
      <c r="AW86" s="27">
        <f t="shared" si="5"/>
        <v>0.14285347637502227</v>
      </c>
      <c r="BA86" t="s">
        <v>38</v>
      </c>
      <c r="BB86">
        <v>1168.8900000000001</v>
      </c>
    </row>
    <row r="87" spans="1:54" ht="15.75" customHeight="1" x14ac:dyDescent="0.3">
      <c r="A87" s="22" t="s">
        <v>69</v>
      </c>
      <c r="B87" s="6" t="s">
        <v>12</v>
      </c>
      <c r="C87" s="6" t="s">
        <v>22</v>
      </c>
      <c r="D87" s="6" t="s">
        <v>23</v>
      </c>
      <c r="E87" s="13">
        <v>1335.87</v>
      </c>
      <c r="F87" s="6">
        <v>17</v>
      </c>
      <c r="G87" s="6">
        <v>0</v>
      </c>
      <c r="H87" s="33">
        <f t="shared" si="3"/>
        <v>9</v>
      </c>
      <c r="I87" s="19">
        <v>45544</v>
      </c>
      <c r="J87" s="13">
        <v>333.97</v>
      </c>
      <c r="L87" t="s">
        <v>12</v>
      </c>
      <c r="M87">
        <v>1335.87</v>
      </c>
      <c r="N87" s="8">
        <v>0</v>
      </c>
      <c r="O87" s="11">
        <v>333.97</v>
      </c>
      <c r="Q87" s="11">
        <f t="shared" si="4"/>
        <v>1001.8999999999999</v>
      </c>
      <c r="AU87" s="11">
        <v>1335.87</v>
      </c>
      <c r="AW87" s="27">
        <f t="shared" si="5"/>
        <v>-0.34596929341926974</v>
      </c>
      <c r="BA87" t="s">
        <v>12</v>
      </c>
      <c r="BB87">
        <v>1335.87</v>
      </c>
    </row>
    <row r="88" spans="1:54" ht="15.75" customHeight="1" x14ac:dyDescent="0.3">
      <c r="A88" s="22" t="s">
        <v>42</v>
      </c>
      <c r="B88" s="6" t="s">
        <v>57</v>
      </c>
      <c r="C88" s="6" t="s">
        <v>20</v>
      </c>
      <c r="D88" s="6" t="s">
        <v>29</v>
      </c>
      <c r="E88" s="13">
        <v>873.7</v>
      </c>
      <c r="F88" s="6">
        <v>9</v>
      </c>
      <c r="G88" s="6">
        <v>0</v>
      </c>
      <c r="H88" s="33">
        <f t="shared" si="3"/>
        <v>9</v>
      </c>
      <c r="I88" s="19">
        <v>45546</v>
      </c>
      <c r="J88" s="13">
        <v>305.8</v>
      </c>
      <c r="L88" t="s">
        <v>57</v>
      </c>
      <c r="M88">
        <v>873.7</v>
      </c>
      <c r="N88" s="8">
        <v>0</v>
      </c>
      <c r="O88" s="11">
        <v>305.8</v>
      </c>
      <c r="Q88" s="11">
        <f t="shared" si="4"/>
        <v>567.90000000000009</v>
      </c>
      <c r="AU88" s="11">
        <v>873.7</v>
      </c>
      <c r="AW88" s="27">
        <f t="shared" si="5"/>
        <v>0.65271832436763189</v>
      </c>
      <c r="BA88" t="s">
        <v>57</v>
      </c>
      <c r="BB88">
        <v>873.7</v>
      </c>
    </row>
    <row r="89" spans="1:54" ht="15.75" customHeight="1" x14ac:dyDescent="0.3">
      <c r="A89" s="22" t="s">
        <v>74</v>
      </c>
      <c r="B89" s="6" t="s">
        <v>66</v>
      </c>
      <c r="C89" s="6" t="s">
        <v>13</v>
      </c>
      <c r="D89" s="6" t="s">
        <v>41</v>
      </c>
      <c r="E89" s="13">
        <v>1443.98</v>
      </c>
      <c r="F89" s="6">
        <v>19</v>
      </c>
      <c r="G89" s="6">
        <v>0</v>
      </c>
      <c r="H89" s="33">
        <f t="shared" si="3"/>
        <v>9</v>
      </c>
      <c r="I89" s="19">
        <v>45547</v>
      </c>
      <c r="J89" s="13">
        <v>649.79</v>
      </c>
      <c r="L89" t="s">
        <v>66</v>
      </c>
      <c r="M89">
        <v>1443.98</v>
      </c>
      <c r="N89" s="8">
        <v>0</v>
      </c>
      <c r="O89" s="11">
        <v>649.79</v>
      </c>
      <c r="Q89" s="11">
        <f t="shared" si="4"/>
        <v>794.19</v>
      </c>
      <c r="AU89" s="11">
        <v>1443.98</v>
      </c>
      <c r="AW89" s="27">
        <f t="shared" si="5"/>
        <v>-0.200591420933808</v>
      </c>
      <c r="BA89" t="s">
        <v>66</v>
      </c>
      <c r="BB89">
        <v>1443.98</v>
      </c>
    </row>
    <row r="90" spans="1:54" ht="15.75" customHeight="1" x14ac:dyDescent="0.3">
      <c r="A90" s="22" t="s">
        <v>42</v>
      </c>
      <c r="B90" s="6" t="s">
        <v>25</v>
      </c>
      <c r="C90" s="6" t="s">
        <v>20</v>
      </c>
      <c r="D90" s="6" t="s">
        <v>41</v>
      </c>
      <c r="E90" s="13">
        <v>1154.33</v>
      </c>
      <c r="F90" s="6">
        <v>11</v>
      </c>
      <c r="G90" s="6">
        <v>0.15</v>
      </c>
      <c r="H90" s="33">
        <f t="shared" si="3"/>
        <v>9</v>
      </c>
      <c r="I90" s="19">
        <v>45549</v>
      </c>
      <c r="J90" s="13">
        <v>441.53</v>
      </c>
      <c r="L90" t="s">
        <v>25</v>
      </c>
      <c r="M90">
        <v>1154.33</v>
      </c>
      <c r="N90" s="8">
        <v>0.15</v>
      </c>
      <c r="O90" s="11">
        <v>441.53</v>
      </c>
      <c r="Q90" s="11">
        <f t="shared" si="4"/>
        <v>539.65049999999997</v>
      </c>
      <c r="AU90" s="11">
        <v>1154.33</v>
      </c>
      <c r="AW90" s="27">
        <f t="shared" si="5"/>
        <v>9.5431982188802236E-2</v>
      </c>
      <c r="BA90" t="s">
        <v>25</v>
      </c>
      <c r="BB90">
        <v>1154.33</v>
      </c>
    </row>
    <row r="91" spans="1:54" ht="15.75" customHeight="1" x14ac:dyDescent="0.3">
      <c r="A91" s="22" t="s">
        <v>51</v>
      </c>
      <c r="B91" s="6" t="s">
        <v>52</v>
      </c>
      <c r="C91" s="6" t="s">
        <v>22</v>
      </c>
      <c r="D91" s="6" t="s">
        <v>14</v>
      </c>
      <c r="E91" s="13">
        <v>1264.49</v>
      </c>
      <c r="F91" s="6">
        <v>16</v>
      </c>
      <c r="G91" s="6">
        <v>0.05</v>
      </c>
      <c r="H91" s="33">
        <f t="shared" si="3"/>
        <v>9</v>
      </c>
      <c r="I91" s="19">
        <v>45549</v>
      </c>
      <c r="J91" s="13">
        <v>480.51</v>
      </c>
      <c r="L91" t="s">
        <v>52</v>
      </c>
      <c r="M91">
        <v>1264.49</v>
      </c>
      <c r="N91" s="8">
        <v>0.05</v>
      </c>
      <c r="O91" s="11">
        <v>480.51</v>
      </c>
      <c r="Q91" s="11">
        <f t="shared" si="4"/>
        <v>720.75549999999998</v>
      </c>
      <c r="AU91" s="11">
        <v>1264.49</v>
      </c>
      <c r="AW91" s="27">
        <f t="shared" si="5"/>
        <v>-0.12885827487761869</v>
      </c>
      <c r="BA91" t="s">
        <v>52</v>
      </c>
      <c r="BB91">
        <v>1264.49</v>
      </c>
    </row>
    <row r="92" spans="1:54" ht="15.75" customHeight="1" x14ac:dyDescent="0.3">
      <c r="A92" s="22" t="s">
        <v>27</v>
      </c>
      <c r="B92" s="6" t="s">
        <v>68</v>
      </c>
      <c r="C92" s="6" t="s">
        <v>13</v>
      </c>
      <c r="D92" s="6" t="s">
        <v>29</v>
      </c>
      <c r="E92" s="13">
        <v>1101.55</v>
      </c>
      <c r="F92" s="6">
        <v>4</v>
      </c>
      <c r="G92" s="6">
        <v>0.1</v>
      </c>
      <c r="H92" s="33">
        <f t="shared" si="3"/>
        <v>9</v>
      </c>
      <c r="I92" s="19">
        <v>45551</v>
      </c>
      <c r="J92" s="13">
        <v>346.99</v>
      </c>
      <c r="L92" t="s">
        <v>68</v>
      </c>
      <c r="M92">
        <v>1101.55</v>
      </c>
      <c r="N92" s="8">
        <v>0.1</v>
      </c>
      <c r="O92" s="11">
        <v>346.99</v>
      </c>
      <c r="Q92" s="11">
        <f t="shared" si="4"/>
        <v>644.40499999999997</v>
      </c>
      <c r="AU92" s="11">
        <v>1101.55</v>
      </c>
      <c r="AW92" s="27">
        <f t="shared" si="5"/>
        <v>-0.33935817711406652</v>
      </c>
      <c r="BA92" t="s">
        <v>68</v>
      </c>
      <c r="BB92">
        <v>1101.55</v>
      </c>
    </row>
    <row r="93" spans="1:54" ht="15.75" customHeight="1" x14ac:dyDescent="0.3">
      <c r="A93" s="22" t="s">
        <v>75</v>
      </c>
      <c r="B93" s="6" t="s">
        <v>16</v>
      </c>
      <c r="C93" s="6" t="s">
        <v>22</v>
      </c>
      <c r="D93" s="6" t="s">
        <v>29</v>
      </c>
      <c r="E93" s="13">
        <v>727.73</v>
      </c>
      <c r="F93" s="6">
        <v>1</v>
      </c>
      <c r="G93" s="6">
        <v>0.1</v>
      </c>
      <c r="H93" s="33">
        <f t="shared" si="3"/>
        <v>9</v>
      </c>
      <c r="I93" s="19">
        <v>45552</v>
      </c>
      <c r="J93" s="13">
        <v>229.23</v>
      </c>
      <c r="L93" t="s">
        <v>16</v>
      </c>
      <c r="M93">
        <v>727.73</v>
      </c>
      <c r="N93" s="8">
        <v>0.1</v>
      </c>
      <c r="O93" s="11">
        <v>229.23</v>
      </c>
      <c r="Q93" s="11">
        <f t="shared" si="4"/>
        <v>425.72699999999998</v>
      </c>
      <c r="AU93" s="11">
        <v>727.73</v>
      </c>
      <c r="AW93" s="27">
        <f t="shared" si="5"/>
        <v>0.20293240624957051</v>
      </c>
      <c r="BA93" t="s">
        <v>16</v>
      </c>
      <c r="BB93">
        <v>727.73</v>
      </c>
    </row>
    <row r="94" spans="1:54" ht="15.75" customHeight="1" x14ac:dyDescent="0.3">
      <c r="A94" s="22" t="s">
        <v>76</v>
      </c>
      <c r="B94" s="6" t="s">
        <v>40</v>
      </c>
      <c r="C94" s="6" t="s">
        <v>20</v>
      </c>
      <c r="D94" s="6" t="s">
        <v>41</v>
      </c>
      <c r="E94" s="13">
        <v>875.41</v>
      </c>
      <c r="F94" s="6">
        <v>13</v>
      </c>
      <c r="G94" s="6">
        <v>0.15</v>
      </c>
      <c r="H94" s="33">
        <f t="shared" si="3"/>
        <v>9</v>
      </c>
      <c r="I94" s="19">
        <v>45552</v>
      </c>
      <c r="J94" s="13">
        <v>334.84</v>
      </c>
      <c r="L94" t="s">
        <v>40</v>
      </c>
      <c r="M94">
        <v>875.41</v>
      </c>
      <c r="N94" s="8">
        <v>0.15</v>
      </c>
      <c r="O94" s="11">
        <v>334.84</v>
      </c>
      <c r="Q94" s="11">
        <f t="shared" si="4"/>
        <v>409.25849999999997</v>
      </c>
      <c r="AU94" s="11">
        <v>875.41</v>
      </c>
      <c r="AW94" s="27">
        <f t="shared" si="5"/>
        <v>0.32388252361750502</v>
      </c>
      <c r="BA94" t="s">
        <v>40</v>
      </c>
      <c r="BB94">
        <v>875.41</v>
      </c>
    </row>
    <row r="95" spans="1:54" ht="15.75" customHeight="1" x14ac:dyDescent="0.3">
      <c r="A95" s="22" t="s">
        <v>69</v>
      </c>
      <c r="B95" s="6" t="s">
        <v>25</v>
      </c>
      <c r="C95" s="6" t="s">
        <v>13</v>
      </c>
      <c r="D95" s="6" t="s">
        <v>23</v>
      </c>
      <c r="E95" s="13">
        <v>1158.94</v>
      </c>
      <c r="F95" s="6">
        <v>19</v>
      </c>
      <c r="G95" s="6">
        <v>0.2</v>
      </c>
      <c r="H95" s="33">
        <f t="shared" si="3"/>
        <v>9</v>
      </c>
      <c r="I95" s="19">
        <v>45553</v>
      </c>
      <c r="J95" s="13">
        <v>231.79</v>
      </c>
      <c r="L95" t="s">
        <v>25</v>
      </c>
      <c r="M95">
        <v>1158.94</v>
      </c>
      <c r="N95" s="8">
        <v>0.2</v>
      </c>
      <c r="O95" s="11">
        <v>231.79</v>
      </c>
      <c r="Q95" s="11">
        <f t="shared" si="4"/>
        <v>695.36200000000008</v>
      </c>
      <c r="AU95" s="11">
        <v>1158.94</v>
      </c>
      <c r="AW95" s="27">
        <f t="shared" si="5"/>
        <v>-0.16622085699000819</v>
      </c>
      <c r="BA95" t="s">
        <v>25</v>
      </c>
      <c r="BB95">
        <v>1158.94</v>
      </c>
    </row>
    <row r="96" spans="1:54" ht="15.75" customHeight="1" x14ac:dyDescent="0.3">
      <c r="A96" s="22" t="s">
        <v>77</v>
      </c>
      <c r="B96" s="6" t="s">
        <v>49</v>
      </c>
      <c r="C96" s="6" t="s">
        <v>22</v>
      </c>
      <c r="D96" s="6" t="s">
        <v>14</v>
      </c>
      <c r="E96" s="13">
        <v>966.3</v>
      </c>
      <c r="F96" s="6">
        <v>2</v>
      </c>
      <c r="G96" s="6">
        <v>0.15</v>
      </c>
      <c r="H96" s="33">
        <f t="shared" si="3"/>
        <v>9</v>
      </c>
      <c r="I96" s="19">
        <v>45557</v>
      </c>
      <c r="J96" s="13">
        <v>328.54</v>
      </c>
      <c r="L96" t="s">
        <v>49</v>
      </c>
      <c r="M96">
        <v>966.3</v>
      </c>
      <c r="N96" s="8">
        <v>0.15</v>
      </c>
      <c r="O96" s="11">
        <v>328.54</v>
      </c>
      <c r="Q96" s="11">
        <f t="shared" si="4"/>
        <v>492.81499999999988</v>
      </c>
      <c r="AU96" s="11">
        <v>966.3</v>
      </c>
      <c r="AW96" s="27">
        <f t="shared" si="5"/>
        <v>-5.0522612025250893E-2</v>
      </c>
      <c r="BA96" t="s">
        <v>49</v>
      </c>
      <c r="BB96">
        <v>966.3</v>
      </c>
    </row>
    <row r="97" spans="1:54" ht="15.75" customHeight="1" x14ac:dyDescent="0.3">
      <c r="A97" s="22" t="s">
        <v>70</v>
      </c>
      <c r="B97" s="6" t="s">
        <v>19</v>
      </c>
      <c r="C97" s="6" t="s">
        <v>22</v>
      </c>
      <c r="D97" s="6" t="s">
        <v>14</v>
      </c>
      <c r="E97" s="13">
        <v>917.48</v>
      </c>
      <c r="F97" s="6">
        <v>6</v>
      </c>
      <c r="G97" s="6">
        <v>0</v>
      </c>
      <c r="H97" s="33">
        <f t="shared" si="3"/>
        <v>9</v>
      </c>
      <c r="I97" s="19">
        <v>45558</v>
      </c>
      <c r="J97" s="13">
        <v>366.99</v>
      </c>
      <c r="L97" t="s">
        <v>19</v>
      </c>
      <c r="M97">
        <v>917.48</v>
      </c>
      <c r="N97" s="8">
        <v>0</v>
      </c>
      <c r="O97" s="11">
        <v>366.99</v>
      </c>
      <c r="Q97" s="11">
        <f t="shared" si="4"/>
        <v>550.49</v>
      </c>
      <c r="AU97" s="11">
        <v>917.48</v>
      </c>
      <c r="AW97" s="27">
        <f t="shared" si="5"/>
        <v>0.27846928543401489</v>
      </c>
      <c r="BA97" t="s">
        <v>19</v>
      </c>
      <c r="BB97">
        <v>917.48</v>
      </c>
    </row>
    <row r="98" spans="1:54" ht="15.75" customHeight="1" x14ac:dyDescent="0.3">
      <c r="A98" s="22" t="s">
        <v>43</v>
      </c>
      <c r="B98" s="6" t="s">
        <v>63</v>
      </c>
      <c r="C98" s="6" t="s">
        <v>13</v>
      </c>
      <c r="D98" s="6" t="s">
        <v>29</v>
      </c>
      <c r="E98" s="13">
        <v>1172.97</v>
      </c>
      <c r="F98" s="6">
        <v>7</v>
      </c>
      <c r="G98" s="6">
        <v>0.15</v>
      </c>
      <c r="H98" s="33">
        <f t="shared" si="3"/>
        <v>9</v>
      </c>
      <c r="I98" s="19">
        <v>45559</v>
      </c>
      <c r="J98" s="13">
        <v>348.96</v>
      </c>
      <c r="L98" t="s">
        <v>63</v>
      </c>
      <c r="M98">
        <v>1172.97</v>
      </c>
      <c r="N98" s="8">
        <v>0.15</v>
      </c>
      <c r="O98" s="11">
        <v>348.96</v>
      </c>
      <c r="Q98" s="11">
        <f t="shared" si="4"/>
        <v>648.06449999999995</v>
      </c>
      <c r="AU98" s="11">
        <v>1172.97</v>
      </c>
      <c r="AW98" s="27">
        <f t="shared" si="5"/>
        <v>2.8005831351185374E-2</v>
      </c>
      <c r="BA98" t="s">
        <v>63</v>
      </c>
      <c r="BB98">
        <v>1172.97</v>
      </c>
    </row>
    <row r="99" spans="1:54" ht="15.75" customHeight="1" x14ac:dyDescent="0.3">
      <c r="A99" s="22" t="s">
        <v>59</v>
      </c>
      <c r="B99" s="6" t="s">
        <v>25</v>
      </c>
      <c r="C99" s="6" t="s">
        <v>26</v>
      </c>
      <c r="D99" s="6" t="s">
        <v>17</v>
      </c>
      <c r="E99" s="13">
        <v>1205.82</v>
      </c>
      <c r="F99" s="6">
        <v>11</v>
      </c>
      <c r="G99" s="6">
        <v>0.1</v>
      </c>
      <c r="H99" s="33">
        <f t="shared" si="3"/>
        <v>9</v>
      </c>
      <c r="I99" s="19">
        <v>45559</v>
      </c>
      <c r="J99" s="13">
        <v>542.62</v>
      </c>
      <c r="L99" t="s">
        <v>25</v>
      </c>
      <c r="M99">
        <v>1205.82</v>
      </c>
      <c r="N99" s="8">
        <v>0.1</v>
      </c>
      <c r="O99" s="11">
        <v>542.62</v>
      </c>
      <c r="Q99" s="11">
        <f t="shared" si="4"/>
        <v>542.61800000000005</v>
      </c>
      <c r="AU99" s="11">
        <v>1205.82</v>
      </c>
      <c r="AW99" s="27">
        <f t="shared" si="5"/>
        <v>-0.31421771076943489</v>
      </c>
      <c r="BA99" t="s">
        <v>25</v>
      </c>
      <c r="BB99">
        <v>1205.82</v>
      </c>
    </row>
    <row r="100" spans="1:54" ht="15.75" customHeight="1" x14ac:dyDescent="0.3">
      <c r="A100" s="22" t="s">
        <v>18</v>
      </c>
      <c r="B100" s="6" t="s">
        <v>66</v>
      </c>
      <c r="C100" s="6" t="s">
        <v>13</v>
      </c>
      <c r="D100" s="6" t="s">
        <v>41</v>
      </c>
      <c r="E100" s="13">
        <v>826.93</v>
      </c>
      <c r="F100" s="6">
        <v>10</v>
      </c>
      <c r="G100" s="6">
        <v>0.2</v>
      </c>
      <c r="H100" s="33">
        <f t="shared" si="3"/>
        <v>9</v>
      </c>
      <c r="I100" s="19">
        <v>45564</v>
      </c>
      <c r="J100" s="13">
        <v>297.69</v>
      </c>
      <c r="L100" t="s">
        <v>66</v>
      </c>
      <c r="M100">
        <v>826.93</v>
      </c>
      <c r="N100" s="8">
        <v>0.2</v>
      </c>
      <c r="O100" s="11">
        <v>297.69</v>
      </c>
      <c r="Q100" s="11">
        <f t="shared" si="4"/>
        <v>363.85399999999998</v>
      </c>
      <c r="AU100" s="11">
        <v>826.93</v>
      </c>
      <c r="AW100" s="27">
        <f t="shared" si="5"/>
        <v>9.1011331067926068E-2</v>
      </c>
      <c r="BA100" t="s">
        <v>66</v>
      </c>
      <c r="BB100">
        <v>826.93</v>
      </c>
    </row>
    <row r="101" spans="1:54" ht="15.75" customHeight="1" x14ac:dyDescent="0.3">
      <c r="A101" s="22" t="s">
        <v>69</v>
      </c>
      <c r="B101" s="6" t="s">
        <v>25</v>
      </c>
      <c r="C101" s="6" t="s">
        <v>36</v>
      </c>
      <c r="D101" s="6" t="s">
        <v>17</v>
      </c>
      <c r="E101" s="13">
        <v>902.19</v>
      </c>
      <c r="F101" s="6">
        <v>12</v>
      </c>
      <c r="G101" s="6">
        <v>0</v>
      </c>
      <c r="H101" s="33">
        <f t="shared" si="3"/>
        <v>9</v>
      </c>
      <c r="I101" s="19">
        <v>45564</v>
      </c>
      <c r="J101" s="13">
        <v>451.1</v>
      </c>
      <c r="L101" t="s">
        <v>25</v>
      </c>
      <c r="M101">
        <v>902.19</v>
      </c>
      <c r="N101" s="8">
        <v>0</v>
      </c>
      <c r="O101" s="11">
        <v>451.1</v>
      </c>
      <c r="Q101" s="11">
        <f t="shared" si="4"/>
        <v>451.09000000000003</v>
      </c>
      <c r="AU101" s="11">
        <v>902.19</v>
      </c>
      <c r="AW101" s="27">
        <f t="shared" si="5"/>
        <v>-0.35050266573559896</v>
      </c>
      <c r="BA101" t="s">
        <v>25</v>
      </c>
      <c r="BB101">
        <v>902.19</v>
      </c>
    </row>
    <row r="102" spans="1:54" ht="15.75" customHeight="1" x14ac:dyDescent="0.3">
      <c r="A102" s="22" t="s">
        <v>76</v>
      </c>
      <c r="B102" s="6" t="s">
        <v>40</v>
      </c>
      <c r="C102" s="6" t="s">
        <v>26</v>
      </c>
      <c r="D102" s="6" t="s">
        <v>14</v>
      </c>
      <c r="E102" s="13">
        <v>585.97</v>
      </c>
      <c r="F102" s="6">
        <v>17</v>
      </c>
      <c r="G102" s="6">
        <v>0.1</v>
      </c>
      <c r="H102" s="33">
        <f t="shared" si="3"/>
        <v>9</v>
      </c>
      <c r="I102" s="19">
        <v>45565</v>
      </c>
      <c r="J102" s="13">
        <v>210.95</v>
      </c>
      <c r="L102" t="s">
        <v>40</v>
      </c>
      <c r="M102">
        <v>585.97</v>
      </c>
      <c r="N102" s="8">
        <v>0.1</v>
      </c>
      <c r="O102" s="11">
        <v>210.95</v>
      </c>
      <c r="Q102" s="11">
        <f t="shared" si="4"/>
        <v>316.42300000000006</v>
      </c>
      <c r="AU102" s="11">
        <v>585.97</v>
      </c>
      <c r="AW102" s="27">
        <f t="shared" si="5"/>
        <v>0.6898305373995256</v>
      </c>
      <c r="BA102" t="s">
        <v>40</v>
      </c>
      <c r="BB102">
        <v>585.97</v>
      </c>
    </row>
    <row r="103" spans="1:54" ht="15.75" customHeight="1" x14ac:dyDescent="0.3">
      <c r="A103" s="22" t="s">
        <v>62</v>
      </c>
      <c r="B103" s="6" t="s">
        <v>28</v>
      </c>
      <c r="C103" s="6" t="s">
        <v>26</v>
      </c>
      <c r="D103" s="6" t="s">
        <v>17</v>
      </c>
      <c r="E103" s="13">
        <v>990.19</v>
      </c>
      <c r="F103" s="6">
        <v>8</v>
      </c>
      <c r="G103" s="6">
        <v>0.1</v>
      </c>
      <c r="H103" s="33">
        <f t="shared" si="3"/>
        <v>9</v>
      </c>
      <c r="I103" s="19">
        <v>45565</v>
      </c>
      <c r="J103" s="13">
        <v>445.59</v>
      </c>
      <c r="L103" t="s">
        <v>28</v>
      </c>
      <c r="M103">
        <v>990.19</v>
      </c>
      <c r="N103" s="8">
        <v>0.1</v>
      </c>
      <c r="O103" s="11">
        <v>445.59</v>
      </c>
      <c r="Q103" s="11">
        <f t="shared" si="4"/>
        <v>445.58100000000007</v>
      </c>
      <c r="AU103" s="11">
        <v>990.19</v>
      </c>
      <c r="AW103" s="27">
        <f t="shared" si="5"/>
        <v>2.413678182974982E-2</v>
      </c>
      <c r="BA103" t="s">
        <v>28</v>
      </c>
      <c r="BB103">
        <v>990.19</v>
      </c>
    </row>
    <row r="104" spans="1:54" ht="15.75" customHeight="1" x14ac:dyDescent="0.3">
      <c r="A104" s="22" t="s">
        <v>46</v>
      </c>
      <c r="B104" s="6" t="s">
        <v>58</v>
      </c>
      <c r="C104" s="6" t="s">
        <v>36</v>
      </c>
      <c r="D104" s="6" t="s">
        <v>23</v>
      </c>
      <c r="E104" s="13">
        <v>1014.09</v>
      </c>
      <c r="F104" s="6">
        <v>13</v>
      </c>
      <c r="G104" s="6">
        <v>0.2</v>
      </c>
      <c r="H104" s="33">
        <f t="shared" si="3"/>
        <v>10</v>
      </c>
      <c r="I104" s="19">
        <v>45567</v>
      </c>
      <c r="J104" s="13">
        <v>202.82</v>
      </c>
      <c r="L104" t="s">
        <v>58</v>
      </c>
      <c r="M104">
        <v>1014.09</v>
      </c>
      <c r="N104" s="8">
        <v>0.2</v>
      </c>
      <c r="O104" s="11">
        <v>202.82</v>
      </c>
      <c r="Q104" s="11">
        <f t="shared" si="4"/>
        <v>608.452</v>
      </c>
      <c r="AU104" s="11">
        <v>1014.09</v>
      </c>
      <c r="AW104" s="27">
        <f t="shared" si="5"/>
        <v>-8.7566192349791502E-2</v>
      </c>
      <c r="BA104" t="s">
        <v>58</v>
      </c>
      <c r="BB104">
        <v>1014.09</v>
      </c>
    </row>
    <row r="105" spans="1:54" ht="15.75" customHeight="1" x14ac:dyDescent="0.3">
      <c r="A105" s="22" t="s">
        <v>15</v>
      </c>
      <c r="B105" s="6" t="s">
        <v>50</v>
      </c>
      <c r="C105" s="6" t="s">
        <v>26</v>
      </c>
      <c r="D105" s="6" t="s">
        <v>23</v>
      </c>
      <c r="E105" s="13">
        <v>925.29</v>
      </c>
      <c r="F105" s="6">
        <v>17</v>
      </c>
      <c r="G105" s="6">
        <v>0</v>
      </c>
      <c r="H105" s="33">
        <f t="shared" si="3"/>
        <v>10</v>
      </c>
      <c r="I105" s="19">
        <v>45570</v>
      </c>
      <c r="J105" s="13">
        <v>231.32</v>
      </c>
      <c r="L105" t="s">
        <v>50</v>
      </c>
      <c r="M105">
        <v>925.29</v>
      </c>
      <c r="N105" s="8">
        <v>0</v>
      </c>
      <c r="O105" s="11">
        <v>231.32</v>
      </c>
      <c r="Q105" s="11">
        <f t="shared" si="4"/>
        <v>693.97</v>
      </c>
      <c r="AU105" s="11">
        <v>925.29</v>
      </c>
      <c r="AW105" s="27">
        <f t="shared" si="5"/>
        <v>0.39041813917798746</v>
      </c>
      <c r="BA105" t="s">
        <v>50</v>
      </c>
      <c r="BB105">
        <v>925.29</v>
      </c>
    </row>
    <row r="106" spans="1:54" ht="15.75" customHeight="1" x14ac:dyDescent="0.3">
      <c r="A106" s="22" t="s">
        <v>56</v>
      </c>
      <c r="B106" s="6" t="s">
        <v>49</v>
      </c>
      <c r="C106" s="6" t="s">
        <v>20</v>
      </c>
      <c r="D106" s="6" t="s">
        <v>29</v>
      </c>
      <c r="E106" s="13">
        <v>1286.54</v>
      </c>
      <c r="F106" s="6">
        <v>8</v>
      </c>
      <c r="G106" s="6">
        <v>0</v>
      </c>
      <c r="H106" s="33">
        <f t="shared" si="3"/>
        <v>10</v>
      </c>
      <c r="I106" s="19">
        <v>45575</v>
      </c>
      <c r="J106" s="13">
        <v>450.29</v>
      </c>
      <c r="L106" t="s">
        <v>49</v>
      </c>
      <c r="M106">
        <v>1286.54</v>
      </c>
      <c r="N106" s="8">
        <v>0</v>
      </c>
      <c r="O106" s="11">
        <v>450.29</v>
      </c>
      <c r="Q106" s="11">
        <f t="shared" si="4"/>
        <v>836.25</v>
      </c>
      <c r="AU106" s="11">
        <v>1286.54</v>
      </c>
      <c r="AW106" s="27">
        <f t="shared" si="5"/>
        <v>-0.25255336017535401</v>
      </c>
      <c r="BA106" t="s">
        <v>49</v>
      </c>
      <c r="BB106">
        <v>1286.54</v>
      </c>
    </row>
    <row r="107" spans="1:54" ht="15.75" customHeight="1" x14ac:dyDescent="0.3">
      <c r="A107" s="22" t="s">
        <v>39</v>
      </c>
      <c r="B107" s="6" t="s">
        <v>66</v>
      </c>
      <c r="C107" s="6" t="s">
        <v>22</v>
      </c>
      <c r="D107" s="6" t="s">
        <v>14</v>
      </c>
      <c r="E107" s="13">
        <v>961.62</v>
      </c>
      <c r="F107" s="6">
        <v>8</v>
      </c>
      <c r="G107" s="6">
        <v>0.2</v>
      </c>
      <c r="H107" s="33">
        <f t="shared" si="3"/>
        <v>10</v>
      </c>
      <c r="I107" s="19">
        <v>45577</v>
      </c>
      <c r="J107" s="13">
        <v>307.72000000000003</v>
      </c>
      <c r="L107" t="s">
        <v>66</v>
      </c>
      <c r="M107">
        <v>961.62</v>
      </c>
      <c r="N107" s="8">
        <v>0.2</v>
      </c>
      <c r="O107" s="11">
        <v>307.72000000000003</v>
      </c>
      <c r="Q107" s="11">
        <f t="shared" si="4"/>
        <v>461.57600000000002</v>
      </c>
      <c r="AU107" s="11">
        <v>961.62</v>
      </c>
      <c r="AW107" s="27">
        <f t="shared" si="5"/>
        <v>0.12429026018593634</v>
      </c>
      <c r="BA107" t="s">
        <v>66</v>
      </c>
      <c r="BB107">
        <v>961.62</v>
      </c>
    </row>
    <row r="108" spans="1:54" ht="15.75" customHeight="1" x14ac:dyDescent="0.3">
      <c r="A108" s="22" t="s">
        <v>46</v>
      </c>
      <c r="B108" s="6" t="s">
        <v>25</v>
      </c>
      <c r="C108" s="6" t="s">
        <v>20</v>
      </c>
      <c r="D108" s="6" t="s">
        <v>14</v>
      </c>
      <c r="E108" s="13">
        <v>1081.1400000000001</v>
      </c>
      <c r="F108" s="6">
        <v>19</v>
      </c>
      <c r="G108" s="6">
        <v>0.15</v>
      </c>
      <c r="H108" s="33">
        <f t="shared" si="3"/>
        <v>10</v>
      </c>
      <c r="I108" s="19">
        <v>45577</v>
      </c>
      <c r="J108" s="13">
        <v>367.59</v>
      </c>
      <c r="L108" t="s">
        <v>25</v>
      </c>
      <c r="M108">
        <v>1081.1400000000001</v>
      </c>
      <c r="N108" s="8">
        <v>0.15</v>
      </c>
      <c r="O108" s="11">
        <v>367.59</v>
      </c>
      <c r="Q108" s="11">
        <f t="shared" si="4"/>
        <v>551.37900000000013</v>
      </c>
      <c r="AU108" s="11">
        <v>1081.1400000000001</v>
      </c>
      <c r="AW108" s="27">
        <f t="shared" si="5"/>
        <v>0.77928852877518162</v>
      </c>
      <c r="BA108" t="s">
        <v>25</v>
      </c>
      <c r="BB108">
        <v>1081.1400000000001</v>
      </c>
    </row>
    <row r="109" spans="1:54" ht="15.75" customHeight="1" x14ac:dyDescent="0.3">
      <c r="A109" s="22" t="s">
        <v>60</v>
      </c>
      <c r="B109" s="6" t="s">
        <v>25</v>
      </c>
      <c r="C109" s="6" t="s">
        <v>13</v>
      </c>
      <c r="D109" s="6" t="s">
        <v>17</v>
      </c>
      <c r="E109" s="13">
        <v>1923.66</v>
      </c>
      <c r="F109" s="6">
        <v>9</v>
      </c>
      <c r="G109" s="6">
        <v>0.2</v>
      </c>
      <c r="H109" s="33">
        <f t="shared" si="3"/>
        <v>10</v>
      </c>
      <c r="I109" s="19">
        <v>45580</v>
      </c>
      <c r="J109" s="13">
        <v>769.46</v>
      </c>
      <c r="L109" t="s">
        <v>25</v>
      </c>
      <c r="M109">
        <v>1923.66</v>
      </c>
      <c r="N109" s="8">
        <v>0.2</v>
      </c>
      <c r="O109" s="11">
        <v>769.46</v>
      </c>
      <c r="Q109" s="11">
        <f t="shared" si="4"/>
        <v>769.46800000000007</v>
      </c>
      <c r="AU109" s="11">
        <v>1923.66</v>
      </c>
      <c r="AW109" s="27">
        <f t="shared" si="5"/>
        <v>-0.62118565650894653</v>
      </c>
      <c r="BA109" t="s">
        <v>25</v>
      </c>
      <c r="BB109">
        <v>1923.66</v>
      </c>
    </row>
    <row r="110" spans="1:54" ht="15.75" customHeight="1" x14ac:dyDescent="0.3">
      <c r="A110" s="22" t="s">
        <v>56</v>
      </c>
      <c r="B110" s="6" t="s">
        <v>68</v>
      </c>
      <c r="C110" s="6" t="s">
        <v>36</v>
      </c>
      <c r="D110" s="6" t="s">
        <v>17</v>
      </c>
      <c r="E110" s="13">
        <v>728.71</v>
      </c>
      <c r="F110" s="6">
        <v>14</v>
      </c>
      <c r="G110" s="6">
        <v>0.1</v>
      </c>
      <c r="H110" s="33">
        <f t="shared" si="3"/>
        <v>10</v>
      </c>
      <c r="I110" s="19">
        <v>45581</v>
      </c>
      <c r="J110" s="13">
        <v>327.92</v>
      </c>
      <c r="L110" t="s">
        <v>68</v>
      </c>
      <c r="M110">
        <v>728.71</v>
      </c>
      <c r="N110" s="8">
        <v>0.1</v>
      </c>
      <c r="O110" s="11">
        <v>327.92</v>
      </c>
      <c r="Q110" s="11">
        <f t="shared" si="4"/>
        <v>327.91900000000004</v>
      </c>
      <c r="AU110" s="11">
        <v>728.71</v>
      </c>
      <c r="AW110" s="27">
        <f t="shared" si="5"/>
        <v>0.78656804490126397</v>
      </c>
      <c r="BA110" t="s">
        <v>68</v>
      </c>
      <c r="BB110">
        <v>728.71</v>
      </c>
    </row>
    <row r="111" spans="1:54" ht="15.75" customHeight="1" x14ac:dyDescent="0.3">
      <c r="A111" s="22" t="s">
        <v>11</v>
      </c>
      <c r="B111" s="6" t="s">
        <v>35</v>
      </c>
      <c r="C111" s="6" t="s">
        <v>36</v>
      </c>
      <c r="D111" s="6" t="s">
        <v>17</v>
      </c>
      <c r="E111" s="13">
        <v>1301.8900000000001</v>
      </c>
      <c r="F111" s="6">
        <v>7</v>
      </c>
      <c r="G111" s="6">
        <v>0.15</v>
      </c>
      <c r="H111" s="33">
        <f t="shared" si="3"/>
        <v>10</v>
      </c>
      <c r="I111" s="19">
        <v>45581</v>
      </c>
      <c r="J111" s="13">
        <v>553.29999999999995</v>
      </c>
      <c r="L111" t="s">
        <v>35</v>
      </c>
      <c r="M111">
        <v>1301.8900000000001</v>
      </c>
      <c r="N111" s="8">
        <v>0.15</v>
      </c>
      <c r="O111" s="11">
        <v>553.29999999999995</v>
      </c>
      <c r="Q111" s="11">
        <f t="shared" si="4"/>
        <v>553.30650000000014</v>
      </c>
      <c r="AU111" s="11">
        <v>1301.8900000000001</v>
      </c>
      <c r="AW111" s="27">
        <f t="shared" si="5"/>
        <v>-0.24710997088847761</v>
      </c>
      <c r="BA111" t="s">
        <v>35</v>
      </c>
      <c r="BB111">
        <v>1301.8900000000001</v>
      </c>
    </row>
    <row r="112" spans="1:54" ht="15.75" customHeight="1" x14ac:dyDescent="0.3">
      <c r="A112" s="22" t="s">
        <v>72</v>
      </c>
      <c r="B112" s="6" t="s">
        <v>68</v>
      </c>
      <c r="C112" s="6" t="s">
        <v>20</v>
      </c>
      <c r="D112" s="6" t="s">
        <v>14</v>
      </c>
      <c r="E112" s="13">
        <v>980.18</v>
      </c>
      <c r="F112" s="6">
        <v>16</v>
      </c>
      <c r="G112" s="6">
        <v>0.1</v>
      </c>
      <c r="H112" s="33">
        <f t="shared" si="3"/>
        <v>10</v>
      </c>
      <c r="I112" s="19">
        <v>45582</v>
      </c>
      <c r="J112" s="13">
        <v>352.86</v>
      </c>
      <c r="L112" t="s">
        <v>68</v>
      </c>
      <c r="M112">
        <v>980.18</v>
      </c>
      <c r="N112" s="8">
        <v>0.1</v>
      </c>
      <c r="O112" s="11">
        <v>352.86</v>
      </c>
      <c r="Q112" s="11">
        <f t="shared" si="4"/>
        <v>529.30199999999991</v>
      </c>
      <c r="AU112" s="11">
        <v>980.18</v>
      </c>
      <c r="AW112" s="27">
        <f t="shared" si="5"/>
        <v>-0.28832459344202077</v>
      </c>
      <c r="BA112" t="s">
        <v>68</v>
      </c>
      <c r="BB112">
        <v>980.18</v>
      </c>
    </row>
    <row r="113" spans="1:54" ht="15.75" customHeight="1" x14ac:dyDescent="0.3">
      <c r="A113" s="22" t="s">
        <v>76</v>
      </c>
      <c r="B113" s="6" t="s">
        <v>25</v>
      </c>
      <c r="C113" s="6" t="s">
        <v>13</v>
      </c>
      <c r="D113" s="6" t="s">
        <v>17</v>
      </c>
      <c r="E113" s="13">
        <v>697.57</v>
      </c>
      <c r="F113" s="6">
        <v>17</v>
      </c>
      <c r="G113" s="6">
        <v>0.1</v>
      </c>
      <c r="H113" s="33">
        <f t="shared" si="3"/>
        <v>10</v>
      </c>
      <c r="I113" s="19">
        <v>45584</v>
      </c>
      <c r="J113" s="13">
        <v>313.91000000000003</v>
      </c>
      <c r="L113" t="s">
        <v>25</v>
      </c>
      <c r="M113">
        <v>697.57</v>
      </c>
      <c r="N113" s="8">
        <v>0.1</v>
      </c>
      <c r="O113" s="11">
        <v>313.91000000000003</v>
      </c>
      <c r="Q113" s="11">
        <f t="shared" si="4"/>
        <v>313.90300000000008</v>
      </c>
      <c r="AU113" s="11">
        <v>697.57</v>
      </c>
      <c r="AW113" s="27">
        <f t="shared" si="5"/>
        <v>0.71109709419843148</v>
      </c>
      <c r="BA113" t="s">
        <v>25</v>
      </c>
      <c r="BB113">
        <v>697.57</v>
      </c>
    </row>
    <row r="114" spans="1:54" ht="15.75" customHeight="1" x14ac:dyDescent="0.3">
      <c r="A114" s="22" t="s">
        <v>48</v>
      </c>
      <c r="B114" s="6" t="s">
        <v>73</v>
      </c>
      <c r="C114" s="6" t="s">
        <v>13</v>
      </c>
      <c r="D114" s="6" t="s">
        <v>29</v>
      </c>
      <c r="E114" s="13">
        <v>1193.6099999999999</v>
      </c>
      <c r="F114" s="6">
        <v>1</v>
      </c>
      <c r="G114" s="6">
        <v>0.15</v>
      </c>
      <c r="H114" s="33">
        <f t="shared" si="3"/>
        <v>10</v>
      </c>
      <c r="I114" s="19">
        <v>45584</v>
      </c>
      <c r="J114" s="13">
        <v>355.1</v>
      </c>
      <c r="L114" t="s">
        <v>73</v>
      </c>
      <c r="M114">
        <v>1193.6099999999999</v>
      </c>
      <c r="N114" s="8">
        <v>0.15</v>
      </c>
      <c r="O114" s="11">
        <v>355.1</v>
      </c>
      <c r="Q114" s="11">
        <f t="shared" si="4"/>
        <v>659.46849999999984</v>
      </c>
      <c r="AU114" s="11">
        <v>1193.6099999999999</v>
      </c>
      <c r="AW114" s="27">
        <f t="shared" si="5"/>
        <v>-0.35404361558633052</v>
      </c>
      <c r="BA114" t="s">
        <v>73</v>
      </c>
      <c r="BB114">
        <v>1193.6099999999999</v>
      </c>
    </row>
    <row r="115" spans="1:54" ht="15.75" customHeight="1" x14ac:dyDescent="0.3">
      <c r="A115" s="22" t="s">
        <v>34</v>
      </c>
      <c r="B115" s="6" t="s">
        <v>40</v>
      </c>
      <c r="C115" s="6" t="s">
        <v>22</v>
      </c>
      <c r="D115" s="6" t="s">
        <v>23</v>
      </c>
      <c r="E115" s="13">
        <v>771.02</v>
      </c>
      <c r="F115" s="6">
        <v>1</v>
      </c>
      <c r="G115" s="6">
        <v>0</v>
      </c>
      <c r="H115" s="33">
        <f t="shared" si="3"/>
        <v>10</v>
      </c>
      <c r="I115" s="19">
        <v>45585</v>
      </c>
      <c r="J115" s="13">
        <v>192.76</v>
      </c>
      <c r="L115" t="s">
        <v>40</v>
      </c>
      <c r="M115">
        <v>771.02</v>
      </c>
      <c r="N115" s="8">
        <v>0</v>
      </c>
      <c r="O115" s="11">
        <v>192.76</v>
      </c>
      <c r="Q115" s="11">
        <f t="shared" si="4"/>
        <v>578.26</v>
      </c>
      <c r="AU115" s="11">
        <v>771.02</v>
      </c>
      <c r="AW115" s="27">
        <f t="shared" si="5"/>
        <v>-0.1425773650488962</v>
      </c>
      <c r="BA115" t="s">
        <v>40</v>
      </c>
      <c r="BB115">
        <v>771.02</v>
      </c>
    </row>
    <row r="116" spans="1:54" ht="15.75" customHeight="1" x14ac:dyDescent="0.3">
      <c r="A116" s="22" t="s">
        <v>69</v>
      </c>
      <c r="B116" s="6" t="s">
        <v>71</v>
      </c>
      <c r="C116" s="6" t="s">
        <v>26</v>
      </c>
      <c r="D116" s="6" t="s">
        <v>17</v>
      </c>
      <c r="E116" s="13">
        <v>661.09</v>
      </c>
      <c r="F116" s="6">
        <v>1</v>
      </c>
      <c r="G116" s="6">
        <v>0.2</v>
      </c>
      <c r="H116" s="33">
        <f t="shared" si="3"/>
        <v>10</v>
      </c>
      <c r="I116" s="19">
        <v>45593</v>
      </c>
      <c r="J116" s="13">
        <v>264.44</v>
      </c>
      <c r="L116" t="s">
        <v>71</v>
      </c>
      <c r="M116">
        <v>661.09</v>
      </c>
      <c r="N116" s="8">
        <v>0.2</v>
      </c>
      <c r="O116" s="11">
        <v>264.44</v>
      </c>
      <c r="Q116" s="11">
        <f t="shared" si="4"/>
        <v>264.43200000000007</v>
      </c>
      <c r="AU116" s="11">
        <v>661.09</v>
      </c>
      <c r="AW116" s="27">
        <f t="shared" si="5"/>
        <v>4.1961003796759912E-2</v>
      </c>
      <c r="BA116" t="s">
        <v>71</v>
      </c>
      <c r="BB116">
        <v>661.09</v>
      </c>
    </row>
    <row r="117" spans="1:54" ht="15.75" customHeight="1" x14ac:dyDescent="0.3">
      <c r="A117" s="22" t="s">
        <v>15</v>
      </c>
      <c r="B117" s="6" t="s">
        <v>57</v>
      </c>
      <c r="C117" s="6" t="s">
        <v>13</v>
      </c>
      <c r="D117" s="6" t="s">
        <v>23</v>
      </c>
      <c r="E117" s="13">
        <v>688.83</v>
      </c>
      <c r="F117" s="6">
        <v>15</v>
      </c>
      <c r="G117" s="6">
        <v>0</v>
      </c>
      <c r="H117" s="33">
        <f t="shared" si="3"/>
        <v>10</v>
      </c>
      <c r="I117" s="19">
        <v>45595</v>
      </c>
      <c r="J117" s="13">
        <v>172.21</v>
      </c>
      <c r="L117" t="s">
        <v>57</v>
      </c>
      <c r="M117">
        <v>688.83</v>
      </c>
      <c r="N117" s="8">
        <v>0</v>
      </c>
      <c r="O117" s="11">
        <v>172.21</v>
      </c>
      <c r="Q117" s="11">
        <f t="shared" si="4"/>
        <v>516.62</v>
      </c>
      <c r="AU117" s="11">
        <v>688.83</v>
      </c>
      <c r="AW117" s="27">
        <f t="shared" si="5"/>
        <v>0.81336469085260488</v>
      </c>
      <c r="BA117" t="s">
        <v>57</v>
      </c>
      <c r="BB117">
        <v>688.83</v>
      </c>
    </row>
    <row r="118" spans="1:54" ht="15.75" customHeight="1" x14ac:dyDescent="0.3">
      <c r="A118" s="22" t="s">
        <v>75</v>
      </c>
      <c r="B118" s="6" t="s">
        <v>31</v>
      </c>
      <c r="C118" s="6" t="s">
        <v>36</v>
      </c>
      <c r="D118" s="6" t="s">
        <v>14</v>
      </c>
      <c r="E118" s="13">
        <v>1249.0999999999999</v>
      </c>
      <c r="F118" s="6">
        <v>4</v>
      </c>
      <c r="G118" s="6">
        <v>0.05</v>
      </c>
      <c r="H118" s="33">
        <f t="shared" si="3"/>
        <v>11</v>
      </c>
      <c r="I118" s="19">
        <v>45597</v>
      </c>
      <c r="J118" s="13">
        <v>474.66</v>
      </c>
      <c r="L118" t="s">
        <v>31</v>
      </c>
      <c r="M118">
        <v>1249.0999999999999</v>
      </c>
      <c r="N118" s="8">
        <v>0.05</v>
      </c>
      <c r="O118" s="11">
        <v>474.66</v>
      </c>
      <c r="Q118" s="11">
        <f t="shared" si="4"/>
        <v>711.98499999999967</v>
      </c>
      <c r="AU118" s="11">
        <v>1249.0999999999999</v>
      </c>
      <c r="AW118" s="27">
        <f t="shared" si="5"/>
        <v>-0.18803938835961884</v>
      </c>
      <c r="BA118" t="s">
        <v>31</v>
      </c>
      <c r="BB118">
        <v>1249.0999999999999</v>
      </c>
    </row>
    <row r="119" spans="1:54" ht="15.75" customHeight="1" x14ac:dyDescent="0.3">
      <c r="A119" s="22" t="s">
        <v>46</v>
      </c>
      <c r="B119" s="6" t="s">
        <v>25</v>
      </c>
      <c r="C119" s="6" t="s">
        <v>20</v>
      </c>
      <c r="D119" s="6" t="s">
        <v>41</v>
      </c>
      <c r="E119" s="13">
        <v>1014.22</v>
      </c>
      <c r="F119" s="6">
        <v>14</v>
      </c>
      <c r="G119" s="6">
        <v>0.05</v>
      </c>
      <c r="H119" s="33">
        <f t="shared" si="3"/>
        <v>11</v>
      </c>
      <c r="I119" s="19">
        <v>45599</v>
      </c>
      <c r="J119" s="13">
        <v>433.58</v>
      </c>
      <c r="L119" t="s">
        <v>25</v>
      </c>
      <c r="M119">
        <v>1014.22</v>
      </c>
      <c r="N119" s="8">
        <v>0.05</v>
      </c>
      <c r="O119" s="11">
        <v>433.58</v>
      </c>
      <c r="Q119" s="11">
        <f t="shared" si="4"/>
        <v>529.92900000000009</v>
      </c>
      <c r="AU119" s="11">
        <v>1014.22</v>
      </c>
      <c r="AW119" s="27">
        <f t="shared" si="5"/>
        <v>-3.5889649188538841E-3</v>
      </c>
      <c r="BA119" t="s">
        <v>25</v>
      </c>
      <c r="BB119">
        <v>1014.22</v>
      </c>
    </row>
    <row r="120" spans="1:54" ht="15.75" customHeight="1" x14ac:dyDescent="0.3">
      <c r="A120" s="22" t="s">
        <v>56</v>
      </c>
      <c r="B120" s="6" t="s">
        <v>50</v>
      </c>
      <c r="C120" s="6" t="s">
        <v>20</v>
      </c>
      <c r="D120" s="6" t="s">
        <v>14</v>
      </c>
      <c r="E120" s="13">
        <v>1010.58</v>
      </c>
      <c r="F120" s="6">
        <v>2</v>
      </c>
      <c r="G120" s="6">
        <v>0.15</v>
      </c>
      <c r="H120" s="33">
        <f t="shared" si="3"/>
        <v>11</v>
      </c>
      <c r="I120" s="19">
        <v>45605</v>
      </c>
      <c r="J120" s="13">
        <v>343.6</v>
      </c>
      <c r="L120" t="s">
        <v>50</v>
      </c>
      <c r="M120">
        <v>1010.58</v>
      </c>
      <c r="N120" s="8">
        <v>0.15</v>
      </c>
      <c r="O120" s="11">
        <v>343.6</v>
      </c>
      <c r="Q120" s="11">
        <f t="shared" si="4"/>
        <v>515.39300000000003</v>
      </c>
      <c r="AU120" s="11">
        <v>1010.58</v>
      </c>
      <c r="AW120" s="27">
        <f t="shared" si="5"/>
        <v>-5.2732094440816238E-2</v>
      </c>
      <c r="BA120" t="s">
        <v>50</v>
      </c>
      <c r="BB120">
        <v>1010.58</v>
      </c>
    </row>
    <row r="121" spans="1:54" ht="15.75" customHeight="1" x14ac:dyDescent="0.3">
      <c r="A121" s="22" t="s">
        <v>32</v>
      </c>
      <c r="B121" s="6" t="s">
        <v>61</v>
      </c>
      <c r="C121" s="6" t="s">
        <v>26</v>
      </c>
      <c r="D121" s="6" t="s">
        <v>29</v>
      </c>
      <c r="E121" s="13">
        <v>957.29</v>
      </c>
      <c r="F121" s="6">
        <v>4</v>
      </c>
      <c r="G121" s="6">
        <v>0.05</v>
      </c>
      <c r="H121" s="33">
        <f t="shared" si="3"/>
        <v>11</v>
      </c>
      <c r="I121" s="19">
        <v>45605</v>
      </c>
      <c r="J121" s="13">
        <v>318.3</v>
      </c>
      <c r="L121" t="s">
        <v>61</v>
      </c>
      <c r="M121">
        <v>957.29</v>
      </c>
      <c r="N121" s="8">
        <v>0.05</v>
      </c>
      <c r="O121" s="11">
        <v>318.3</v>
      </c>
      <c r="Q121" s="11">
        <f t="shared" si="4"/>
        <v>591.12549999999987</v>
      </c>
      <c r="AU121" s="11">
        <v>957.29</v>
      </c>
      <c r="AW121" s="27">
        <f t="shared" si="5"/>
        <v>0.12601197129396538</v>
      </c>
      <c r="BA121" t="s">
        <v>61</v>
      </c>
      <c r="BB121">
        <v>957.29</v>
      </c>
    </row>
    <row r="122" spans="1:54" ht="15.75" customHeight="1" x14ac:dyDescent="0.3">
      <c r="A122" s="22" t="s">
        <v>30</v>
      </c>
      <c r="B122" s="6" t="s">
        <v>47</v>
      </c>
      <c r="C122" s="6" t="s">
        <v>26</v>
      </c>
      <c r="D122" s="6" t="s">
        <v>29</v>
      </c>
      <c r="E122" s="13">
        <v>1077.92</v>
      </c>
      <c r="F122" s="6">
        <v>3</v>
      </c>
      <c r="G122" s="6">
        <v>0.05</v>
      </c>
      <c r="H122" s="33">
        <f t="shared" si="3"/>
        <v>11</v>
      </c>
      <c r="I122" s="19">
        <v>45608</v>
      </c>
      <c r="J122" s="13">
        <v>358.41</v>
      </c>
      <c r="L122" t="s">
        <v>47</v>
      </c>
      <c r="M122">
        <v>1077.92</v>
      </c>
      <c r="N122" s="8">
        <v>0.05</v>
      </c>
      <c r="O122" s="11">
        <v>358.41</v>
      </c>
      <c r="Q122" s="11">
        <f t="shared" si="4"/>
        <v>665.61400000000003</v>
      </c>
      <c r="AU122" s="11">
        <v>1077.92</v>
      </c>
      <c r="AW122" s="27">
        <f t="shared" si="5"/>
        <v>7.8939067834347551E-2</v>
      </c>
      <c r="BA122" t="s">
        <v>47</v>
      </c>
      <c r="BB122">
        <v>1077.92</v>
      </c>
    </row>
    <row r="123" spans="1:54" ht="15.75" customHeight="1" x14ac:dyDescent="0.3">
      <c r="A123" s="22" t="s">
        <v>54</v>
      </c>
      <c r="B123" s="6" t="s">
        <v>52</v>
      </c>
      <c r="C123" s="6" t="s">
        <v>22</v>
      </c>
      <c r="D123" s="6" t="s">
        <v>17</v>
      </c>
      <c r="E123" s="13">
        <v>1163.01</v>
      </c>
      <c r="F123" s="6">
        <v>5</v>
      </c>
      <c r="G123" s="6">
        <v>0</v>
      </c>
      <c r="H123" s="33">
        <f t="shared" si="3"/>
        <v>11</v>
      </c>
      <c r="I123" s="19">
        <v>45611</v>
      </c>
      <c r="J123" s="13">
        <v>581.5</v>
      </c>
      <c r="L123" t="s">
        <v>52</v>
      </c>
      <c r="M123">
        <v>1163.01</v>
      </c>
      <c r="N123" s="8">
        <v>0</v>
      </c>
      <c r="O123" s="11">
        <v>581.5</v>
      </c>
      <c r="Q123" s="11">
        <f t="shared" si="4"/>
        <v>581.51</v>
      </c>
      <c r="AU123" s="11">
        <v>1163.01</v>
      </c>
      <c r="AW123" s="27">
        <f t="shared" si="5"/>
        <v>-0.12764292654405382</v>
      </c>
      <c r="BA123" t="s">
        <v>52</v>
      </c>
      <c r="BB123">
        <v>1163.01</v>
      </c>
    </row>
    <row r="124" spans="1:54" ht="15.75" customHeight="1" x14ac:dyDescent="0.3">
      <c r="A124" s="22" t="s">
        <v>56</v>
      </c>
      <c r="B124" s="6" t="s">
        <v>47</v>
      </c>
      <c r="C124" s="6" t="s">
        <v>20</v>
      </c>
      <c r="D124" s="6" t="s">
        <v>41</v>
      </c>
      <c r="E124" s="13">
        <v>1014.56</v>
      </c>
      <c r="F124" s="6">
        <v>10</v>
      </c>
      <c r="G124" s="6">
        <v>0.1</v>
      </c>
      <c r="H124" s="33">
        <f t="shared" si="3"/>
        <v>11</v>
      </c>
      <c r="I124" s="19">
        <v>45612</v>
      </c>
      <c r="J124" s="13">
        <v>410.9</v>
      </c>
      <c r="L124" t="s">
        <v>47</v>
      </c>
      <c r="M124">
        <v>1014.56</v>
      </c>
      <c r="N124" s="8">
        <v>0.1</v>
      </c>
      <c r="O124" s="11">
        <v>410.9</v>
      </c>
      <c r="Q124" s="11">
        <f t="shared" si="4"/>
        <v>502.20399999999995</v>
      </c>
      <c r="AU124" s="11">
        <v>1014.56</v>
      </c>
      <c r="AW124" s="27">
        <f t="shared" si="5"/>
        <v>-0.29226462703043682</v>
      </c>
      <c r="BA124" t="s">
        <v>47</v>
      </c>
      <c r="BB124">
        <v>1014.56</v>
      </c>
    </row>
    <row r="125" spans="1:54" ht="15.75" customHeight="1" x14ac:dyDescent="0.3">
      <c r="A125" s="22" t="s">
        <v>11</v>
      </c>
      <c r="B125" s="6" t="s">
        <v>19</v>
      </c>
      <c r="C125" s="6" t="s">
        <v>22</v>
      </c>
      <c r="D125" s="6" t="s">
        <v>23</v>
      </c>
      <c r="E125" s="13">
        <v>718.04</v>
      </c>
      <c r="F125" s="6">
        <v>14</v>
      </c>
      <c r="G125" s="6">
        <v>0</v>
      </c>
      <c r="H125" s="33">
        <f t="shared" si="3"/>
        <v>11</v>
      </c>
      <c r="I125" s="19">
        <v>45613</v>
      </c>
      <c r="J125" s="13">
        <v>179.51</v>
      </c>
      <c r="L125" t="s">
        <v>19</v>
      </c>
      <c r="M125">
        <v>718.04</v>
      </c>
      <c r="N125" s="8">
        <v>0</v>
      </c>
      <c r="O125" s="11">
        <v>179.51</v>
      </c>
      <c r="Q125" s="11">
        <f t="shared" si="4"/>
        <v>538.53</v>
      </c>
      <c r="AU125" s="11">
        <v>718.04</v>
      </c>
      <c r="AW125" s="27">
        <f t="shared" si="5"/>
        <v>0.77963623196479304</v>
      </c>
      <c r="BA125" t="s">
        <v>19</v>
      </c>
      <c r="BB125">
        <v>718.04</v>
      </c>
    </row>
    <row r="126" spans="1:54" ht="15.75" customHeight="1" x14ac:dyDescent="0.3">
      <c r="A126" s="22" t="s">
        <v>74</v>
      </c>
      <c r="B126" s="6" t="s">
        <v>19</v>
      </c>
      <c r="C126" s="6" t="s">
        <v>36</v>
      </c>
      <c r="D126" s="6" t="s">
        <v>17</v>
      </c>
      <c r="E126" s="13">
        <v>1277.8499999999999</v>
      </c>
      <c r="F126" s="6">
        <v>18</v>
      </c>
      <c r="G126" s="6">
        <v>0.2</v>
      </c>
      <c r="H126" s="33">
        <f t="shared" si="3"/>
        <v>11</v>
      </c>
      <c r="I126" s="19">
        <v>45613</v>
      </c>
      <c r="J126" s="13">
        <v>511.14</v>
      </c>
      <c r="L126" t="s">
        <v>19</v>
      </c>
      <c r="M126">
        <v>1277.8499999999999</v>
      </c>
      <c r="N126" s="8">
        <v>0.2</v>
      </c>
      <c r="O126" s="11">
        <v>511.14</v>
      </c>
      <c r="Q126" s="11">
        <f t="shared" si="4"/>
        <v>511.14</v>
      </c>
      <c r="AU126" s="11">
        <v>1277.8499999999999</v>
      </c>
      <c r="AW126" s="27">
        <f t="shared" si="5"/>
        <v>-0.44693821653558707</v>
      </c>
      <c r="BA126" t="s">
        <v>19</v>
      </c>
      <c r="BB126">
        <v>1277.8499999999999</v>
      </c>
    </row>
    <row r="127" spans="1:54" ht="15.75" customHeight="1" x14ac:dyDescent="0.3">
      <c r="A127" s="22" t="s">
        <v>72</v>
      </c>
      <c r="B127" s="6" t="s">
        <v>25</v>
      </c>
      <c r="C127" s="6" t="s">
        <v>26</v>
      </c>
      <c r="D127" s="6" t="s">
        <v>23</v>
      </c>
      <c r="E127" s="13">
        <v>706.73</v>
      </c>
      <c r="F127" s="6">
        <v>1</v>
      </c>
      <c r="G127" s="6">
        <v>0.15</v>
      </c>
      <c r="H127" s="33">
        <f t="shared" si="3"/>
        <v>11</v>
      </c>
      <c r="I127" s="19">
        <v>45613</v>
      </c>
      <c r="J127" s="13">
        <v>150.18</v>
      </c>
      <c r="L127" t="s">
        <v>25</v>
      </c>
      <c r="M127">
        <v>706.73</v>
      </c>
      <c r="N127" s="8">
        <v>0.15</v>
      </c>
      <c r="O127" s="11">
        <v>150.18</v>
      </c>
      <c r="Q127" s="11">
        <f t="shared" si="4"/>
        <v>450.54050000000001</v>
      </c>
      <c r="AU127" s="11">
        <v>706.73</v>
      </c>
      <c r="AW127" s="27">
        <f t="shared" si="5"/>
        <v>0.99593904319895843</v>
      </c>
      <c r="BA127" t="s">
        <v>25</v>
      </c>
      <c r="BB127">
        <v>706.73</v>
      </c>
    </row>
    <row r="128" spans="1:54" ht="15.75" customHeight="1" x14ac:dyDescent="0.3">
      <c r="A128" s="22" t="s">
        <v>67</v>
      </c>
      <c r="B128" s="6" t="s">
        <v>52</v>
      </c>
      <c r="C128" s="6" t="s">
        <v>20</v>
      </c>
      <c r="D128" s="6" t="s">
        <v>23</v>
      </c>
      <c r="E128" s="13">
        <v>1410.59</v>
      </c>
      <c r="F128" s="6">
        <v>15</v>
      </c>
      <c r="G128" s="6">
        <v>0</v>
      </c>
      <c r="H128" s="33">
        <f t="shared" si="3"/>
        <v>11</v>
      </c>
      <c r="I128" s="19">
        <v>45615</v>
      </c>
      <c r="J128" s="13">
        <v>352.65</v>
      </c>
      <c r="L128" t="s">
        <v>52</v>
      </c>
      <c r="M128">
        <v>1410.59</v>
      </c>
      <c r="N128" s="8">
        <v>0</v>
      </c>
      <c r="O128" s="11">
        <v>352.65</v>
      </c>
      <c r="Q128" s="11">
        <f t="shared" si="4"/>
        <v>1057.94</v>
      </c>
      <c r="AU128" s="11">
        <v>1410.59</v>
      </c>
      <c r="AW128" s="27">
        <f t="shared" si="5"/>
        <v>-4.2719713027881946E-2</v>
      </c>
      <c r="BA128" t="s">
        <v>52</v>
      </c>
      <c r="BB128">
        <v>1410.59</v>
      </c>
    </row>
    <row r="129" spans="1:54" ht="15.75" customHeight="1" x14ac:dyDescent="0.3">
      <c r="A129" s="22" t="s">
        <v>34</v>
      </c>
      <c r="B129" s="6" t="s">
        <v>63</v>
      </c>
      <c r="C129" s="6" t="s">
        <v>22</v>
      </c>
      <c r="D129" s="6" t="s">
        <v>29</v>
      </c>
      <c r="E129" s="13">
        <v>1350.33</v>
      </c>
      <c r="F129" s="6">
        <v>10</v>
      </c>
      <c r="G129" s="6">
        <v>0</v>
      </c>
      <c r="H129" s="33">
        <f t="shared" si="3"/>
        <v>11</v>
      </c>
      <c r="I129" s="19">
        <v>45615</v>
      </c>
      <c r="J129" s="13">
        <v>472.62</v>
      </c>
      <c r="L129" t="s">
        <v>63</v>
      </c>
      <c r="M129">
        <v>1350.33</v>
      </c>
      <c r="N129" s="8">
        <v>0</v>
      </c>
      <c r="O129" s="11">
        <v>472.62</v>
      </c>
      <c r="Q129" s="11">
        <f t="shared" si="4"/>
        <v>877.70999999999992</v>
      </c>
      <c r="AU129" s="11">
        <v>1350.33</v>
      </c>
      <c r="AW129" s="27">
        <f t="shared" si="5"/>
        <v>-0.31929232113631484</v>
      </c>
      <c r="BA129" t="s">
        <v>63</v>
      </c>
      <c r="BB129">
        <v>1350.33</v>
      </c>
    </row>
    <row r="130" spans="1:54" ht="15.75" customHeight="1" x14ac:dyDescent="0.3">
      <c r="A130" s="22" t="s">
        <v>43</v>
      </c>
      <c r="B130" s="6" t="s">
        <v>47</v>
      </c>
      <c r="C130" s="6" t="s">
        <v>20</v>
      </c>
      <c r="D130" s="6" t="s">
        <v>23</v>
      </c>
      <c r="E130" s="13">
        <v>919.18</v>
      </c>
      <c r="F130" s="6">
        <v>4</v>
      </c>
      <c r="G130" s="6">
        <v>0.15</v>
      </c>
      <c r="H130" s="33">
        <f t="shared" si="3"/>
        <v>11</v>
      </c>
      <c r="I130" s="19">
        <v>45615</v>
      </c>
      <c r="J130" s="13">
        <v>195.33</v>
      </c>
      <c r="L130" t="s">
        <v>47</v>
      </c>
      <c r="M130">
        <v>919.18</v>
      </c>
      <c r="N130" s="8">
        <v>0.15</v>
      </c>
      <c r="O130" s="11">
        <v>195.33</v>
      </c>
      <c r="Q130" s="11">
        <f t="shared" si="4"/>
        <v>585.97299999999984</v>
      </c>
      <c r="AU130" s="11">
        <v>919.18</v>
      </c>
      <c r="AW130" s="27">
        <f t="shared" si="5"/>
        <v>-0.71876019930807888</v>
      </c>
      <c r="BA130" t="s">
        <v>47</v>
      </c>
      <c r="BB130">
        <v>919.18</v>
      </c>
    </row>
    <row r="131" spans="1:54" ht="15.75" customHeight="1" x14ac:dyDescent="0.3">
      <c r="A131" s="22" t="s">
        <v>76</v>
      </c>
      <c r="B131" s="6" t="s">
        <v>25</v>
      </c>
      <c r="C131" s="6" t="s">
        <v>13</v>
      </c>
      <c r="D131" s="6" t="s">
        <v>23</v>
      </c>
      <c r="E131" s="13">
        <v>258.51</v>
      </c>
      <c r="F131" s="6">
        <v>19</v>
      </c>
      <c r="G131" s="6">
        <v>0</v>
      </c>
      <c r="H131" s="33">
        <f t="shared" ref="H131:H194" si="6">MONTH(I131)</f>
        <v>11</v>
      </c>
      <c r="I131" s="19">
        <v>45616</v>
      </c>
      <c r="J131" s="13">
        <v>64.63</v>
      </c>
      <c r="L131" t="s">
        <v>25</v>
      </c>
      <c r="M131">
        <v>258.51</v>
      </c>
      <c r="N131" s="8">
        <v>0</v>
      </c>
      <c r="O131" s="11">
        <v>64.63</v>
      </c>
      <c r="Q131" s="11">
        <f t="shared" ref="Q131:Q194" si="7">E131*(1-N131)-O131</f>
        <v>193.88</v>
      </c>
      <c r="AU131" s="11">
        <v>258.51</v>
      </c>
      <c r="AW131" s="27">
        <f t="shared" ref="AW131:AW194" si="8">(AU132-AU131)/AU131</f>
        <v>3.6941317550578319</v>
      </c>
      <c r="BA131" t="s">
        <v>25</v>
      </c>
      <c r="BB131">
        <v>258.51</v>
      </c>
    </row>
    <row r="132" spans="1:54" ht="15.75" customHeight="1" x14ac:dyDescent="0.3">
      <c r="A132" s="22" t="s">
        <v>65</v>
      </c>
      <c r="B132" s="6" t="s">
        <v>63</v>
      </c>
      <c r="C132" s="6" t="s">
        <v>20</v>
      </c>
      <c r="D132" s="6" t="s">
        <v>14</v>
      </c>
      <c r="E132" s="13">
        <v>1213.48</v>
      </c>
      <c r="F132" s="6">
        <v>5</v>
      </c>
      <c r="G132" s="6">
        <v>0.05</v>
      </c>
      <c r="H132" s="33">
        <f t="shared" si="6"/>
        <v>11</v>
      </c>
      <c r="I132" s="19">
        <v>45616</v>
      </c>
      <c r="J132" s="13">
        <v>461.12</v>
      </c>
      <c r="L132" t="s">
        <v>63</v>
      </c>
      <c r="M132">
        <v>1213.48</v>
      </c>
      <c r="N132" s="8">
        <v>0.05</v>
      </c>
      <c r="O132" s="11">
        <v>461.12</v>
      </c>
      <c r="Q132" s="11">
        <f t="shared" si="7"/>
        <v>691.68600000000004</v>
      </c>
      <c r="AU132" s="11">
        <v>1213.48</v>
      </c>
      <c r="AW132" s="27">
        <f t="shared" si="8"/>
        <v>-5.2081616507894689E-2</v>
      </c>
      <c r="BA132" t="s">
        <v>63</v>
      </c>
      <c r="BB132">
        <v>1213.48</v>
      </c>
    </row>
    <row r="133" spans="1:54" ht="15.75" customHeight="1" x14ac:dyDescent="0.3">
      <c r="A133" s="22" t="s">
        <v>59</v>
      </c>
      <c r="B133" s="6" t="s">
        <v>40</v>
      </c>
      <c r="C133" s="6" t="s">
        <v>36</v>
      </c>
      <c r="D133" s="6" t="s">
        <v>14</v>
      </c>
      <c r="E133" s="13">
        <v>1150.28</v>
      </c>
      <c r="F133" s="6">
        <v>8</v>
      </c>
      <c r="G133" s="6">
        <v>0.05</v>
      </c>
      <c r="H133" s="33">
        <f t="shared" si="6"/>
        <v>11</v>
      </c>
      <c r="I133" s="19">
        <v>45622</v>
      </c>
      <c r="J133" s="13">
        <v>437.11</v>
      </c>
      <c r="L133" t="s">
        <v>40</v>
      </c>
      <c r="M133">
        <v>1150.28</v>
      </c>
      <c r="N133" s="8">
        <v>0.05</v>
      </c>
      <c r="O133" s="11">
        <v>437.11</v>
      </c>
      <c r="Q133" s="11">
        <f t="shared" si="7"/>
        <v>655.65599999999984</v>
      </c>
      <c r="AU133" s="11">
        <v>1150.28</v>
      </c>
      <c r="AW133" s="27">
        <f t="shared" si="8"/>
        <v>-0.25769377890600548</v>
      </c>
      <c r="BA133" t="s">
        <v>40</v>
      </c>
      <c r="BB133">
        <v>1150.28</v>
      </c>
    </row>
    <row r="134" spans="1:54" ht="15.75" customHeight="1" x14ac:dyDescent="0.3">
      <c r="A134" s="22" t="s">
        <v>39</v>
      </c>
      <c r="B134" s="6" t="s">
        <v>73</v>
      </c>
      <c r="C134" s="6" t="s">
        <v>22</v>
      </c>
      <c r="D134" s="6" t="s">
        <v>29</v>
      </c>
      <c r="E134" s="13">
        <v>853.86</v>
      </c>
      <c r="F134" s="6">
        <v>8</v>
      </c>
      <c r="G134" s="6">
        <v>0.1</v>
      </c>
      <c r="H134" s="33">
        <f t="shared" si="6"/>
        <v>11</v>
      </c>
      <c r="I134" s="19">
        <v>45622</v>
      </c>
      <c r="J134" s="13">
        <v>268.97000000000003</v>
      </c>
      <c r="L134" t="s">
        <v>73</v>
      </c>
      <c r="M134">
        <v>853.86</v>
      </c>
      <c r="N134" s="8">
        <v>0.1</v>
      </c>
      <c r="O134" s="11">
        <v>268.97000000000003</v>
      </c>
      <c r="Q134" s="11">
        <f t="shared" si="7"/>
        <v>499.50400000000002</v>
      </c>
      <c r="AU134" s="11">
        <v>853.86</v>
      </c>
      <c r="AW134" s="27">
        <f t="shared" si="8"/>
        <v>0.24263930855175314</v>
      </c>
      <c r="BA134" t="s">
        <v>73</v>
      </c>
      <c r="BB134">
        <v>853.86</v>
      </c>
    </row>
    <row r="135" spans="1:54" ht="15.75" customHeight="1" x14ac:dyDescent="0.3">
      <c r="A135" s="22" t="s">
        <v>77</v>
      </c>
      <c r="B135" s="6" t="s">
        <v>47</v>
      </c>
      <c r="C135" s="6" t="s">
        <v>22</v>
      </c>
      <c r="D135" s="6" t="s">
        <v>23</v>
      </c>
      <c r="E135" s="13">
        <v>1061.04</v>
      </c>
      <c r="F135" s="6">
        <v>1</v>
      </c>
      <c r="G135" s="6">
        <v>0</v>
      </c>
      <c r="H135" s="33">
        <f t="shared" si="6"/>
        <v>11</v>
      </c>
      <c r="I135" s="19">
        <v>45624</v>
      </c>
      <c r="J135" s="13">
        <v>265.26</v>
      </c>
      <c r="L135" t="s">
        <v>47</v>
      </c>
      <c r="M135">
        <v>1061.04</v>
      </c>
      <c r="N135" s="8">
        <v>0</v>
      </c>
      <c r="O135" s="11">
        <v>265.26</v>
      </c>
      <c r="Q135" s="11">
        <f t="shared" si="7"/>
        <v>795.78</v>
      </c>
      <c r="AU135" s="11">
        <v>1061.04</v>
      </c>
      <c r="AW135" s="27">
        <f t="shared" si="8"/>
        <v>-0.15691208625499511</v>
      </c>
      <c r="BA135" t="s">
        <v>47</v>
      </c>
      <c r="BB135">
        <v>1061.04</v>
      </c>
    </row>
    <row r="136" spans="1:54" ht="15.75" customHeight="1" x14ac:dyDescent="0.3">
      <c r="A136" s="22" t="s">
        <v>30</v>
      </c>
      <c r="B136" s="6" t="s">
        <v>45</v>
      </c>
      <c r="C136" s="6" t="s">
        <v>13</v>
      </c>
      <c r="D136" s="6" t="s">
        <v>23</v>
      </c>
      <c r="E136" s="13">
        <v>894.55</v>
      </c>
      <c r="F136" s="6">
        <v>19</v>
      </c>
      <c r="G136" s="6">
        <v>0.2</v>
      </c>
      <c r="H136" s="33">
        <f t="shared" si="6"/>
        <v>11</v>
      </c>
      <c r="I136" s="19">
        <v>45625</v>
      </c>
      <c r="J136" s="13">
        <v>178.91</v>
      </c>
      <c r="L136" t="s">
        <v>45</v>
      </c>
      <c r="M136">
        <v>894.55</v>
      </c>
      <c r="N136" s="8">
        <v>0.2</v>
      </c>
      <c r="O136" s="11">
        <v>178.91</v>
      </c>
      <c r="Q136" s="11">
        <f t="shared" si="7"/>
        <v>536.73</v>
      </c>
      <c r="AU136" s="11">
        <v>894.55</v>
      </c>
      <c r="AW136" s="27">
        <f t="shared" si="8"/>
        <v>-6.778827343356994E-2</v>
      </c>
      <c r="BA136" t="s">
        <v>45</v>
      </c>
      <c r="BB136">
        <v>894.55</v>
      </c>
    </row>
    <row r="137" spans="1:54" ht="15.75" customHeight="1" x14ac:dyDescent="0.3">
      <c r="A137" s="22" t="s">
        <v>27</v>
      </c>
      <c r="B137" s="6" t="s">
        <v>40</v>
      </c>
      <c r="C137" s="6" t="s">
        <v>26</v>
      </c>
      <c r="D137" s="6" t="s">
        <v>41</v>
      </c>
      <c r="E137" s="13">
        <v>833.91</v>
      </c>
      <c r="F137" s="6">
        <v>3</v>
      </c>
      <c r="G137" s="6">
        <v>0.05</v>
      </c>
      <c r="H137" s="33">
        <f t="shared" si="6"/>
        <v>11</v>
      </c>
      <c r="I137" s="19">
        <v>45626</v>
      </c>
      <c r="J137" s="13">
        <v>356.5</v>
      </c>
      <c r="L137" t="s">
        <v>40</v>
      </c>
      <c r="M137">
        <v>833.91</v>
      </c>
      <c r="N137" s="8">
        <v>0.05</v>
      </c>
      <c r="O137" s="11">
        <v>356.5</v>
      </c>
      <c r="Q137" s="11">
        <f t="shared" si="7"/>
        <v>435.71449999999993</v>
      </c>
      <c r="AU137" s="11">
        <v>833.91</v>
      </c>
      <c r="AW137" s="27">
        <f t="shared" si="8"/>
        <v>-1.6452614790564826E-2</v>
      </c>
      <c r="BA137" t="s">
        <v>40</v>
      </c>
      <c r="BB137">
        <v>833.91</v>
      </c>
    </row>
    <row r="138" spans="1:54" ht="15.75" customHeight="1" x14ac:dyDescent="0.3">
      <c r="A138" s="22" t="s">
        <v>60</v>
      </c>
      <c r="B138" s="6" t="s">
        <v>73</v>
      </c>
      <c r="C138" s="6" t="s">
        <v>13</v>
      </c>
      <c r="D138" s="6" t="s">
        <v>29</v>
      </c>
      <c r="E138" s="13">
        <v>820.19</v>
      </c>
      <c r="F138" s="6">
        <v>4</v>
      </c>
      <c r="G138" s="6">
        <v>0.2</v>
      </c>
      <c r="H138" s="33">
        <f t="shared" si="6"/>
        <v>12</v>
      </c>
      <c r="I138" s="19">
        <v>45630</v>
      </c>
      <c r="J138" s="13">
        <v>229.65</v>
      </c>
      <c r="L138" t="s">
        <v>73</v>
      </c>
      <c r="M138">
        <v>820.19</v>
      </c>
      <c r="N138" s="8">
        <v>0.2</v>
      </c>
      <c r="O138" s="11">
        <v>229.65</v>
      </c>
      <c r="Q138" s="11">
        <f t="shared" si="7"/>
        <v>426.50200000000007</v>
      </c>
      <c r="AU138" s="11">
        <v>820.19</v>
      </c>
      <c r="AW138" s="27">
        <f t="shared" si="8"/>
        <v>-0.37607139809068635</v>
      </c>
      <c r="BA138" t="s">
        <v>73</v>
      </c>
      <c r="BB138">
        <v>820.19</v>
      </c>
    </row>
    <row r="139" spans="1:54" ht="15.75" customHeight="1" x14ac:dyDescent="0.3">
      <c r="A139" s="22" t="s">
        <v>60</v>
      </c>
      <c r="B139" s="6" t="s">
        <v>40</v>
      </c>
      <c r="C139" s="6" t="s">
        <v>36</v>
      </c>
      <c r="D139" s="6" t="s">
        <v>23</v>
      </c>
      <c r="E139" s="13">
        <v>511.74</v>
      </c>
      <c r="F139" s="6">
        <v>8</v>
      </c>
      <c r="G139" s="6">
        <v>0.05</v>
      </c>
      <c r="H139" s="33">
        <f t="shared" si="6"/>
        <v>12</v>
      </c>
      <c r="I139" s="19">
        <v>45631</v>
      </c>
      <c r="J139" s="13">
        <v>121.54</v>
      </c>
      <c r="L139" t="s">
        <v>40</v>
      </c>
      <c r="M139">
        <v>511.74</v>
      </c>
      <c r="N139" s="8">
        <v>0.05</v>
      </c>
      <c r="O139" s="11">
        <v>121.54</v>
      </c>
      <c r="Q139" s="11">
        <f t="shared" si="7"/>
        <v>364.61299999999994</v>
      </c>
      <c r="AU139" s="11">
        <v>511.74</v>
      </c>
      <c r="AW139" s="27">
        <f t="shared" si="8"/>
        <v>0.57507718763434545</v>
      </c>
      <c r="BA139" t="s">
        <v>40</v>
      </c>
      <c r="BB139">
        <v>511.74</v>
      </c>
    </row>
    <row r="140" spans="1:54" ht="15.75" customHeight="1" x14ac:dyDescent="0.3">
      <c r="A140" s="22" t="s">
        <v>67</v>
      </c>
      <c r="B140" s="6" t="s">
        <v>63</v>
      </c>
      <c r="C140" s="6" t="s">
        <v>22</v>
      </c>
      <c r="D140" s="6" t="s">
        <v>29</v>
      </c>
      <c r="E140" s="13">
        <v>806.03</v>
      </c>
      <c r="F140" s="6">
        <v>19</v>
      </c>
      <c r="G140" s="6">
        <v>0.05</v>
      </c>
      <c r="H140" s="33">
        <f t="shared" si="6"/>
        <v>12</v>
      </c>
      <c r="I140" s="19">
        <v>45638</v>
      </c>
      <c r="J140" s="13">
        <v>268</v>
      </c>
      <c r="L140" t="s">
        <v>63</v>
      </c>
      <c r="M140">
        <v>806.03</v>
      </c>
      <c r="N140" s="8">
        <v>0.05</v>
      </c>
      <c r="O140" s="11">
        <v>268</v>
      </c>
      <c r="Q140" s="11">
        <f t="shared" si="7"/>
        <v>497.72849999999994</v>
      </c>
      <c r="AU140" s="11">
        <v>806.03</v>
      </c>
      <c r="AW140" s="27">
        <f t="shared" si="8"/>
        <v>0.77719191593365022</v>
      </c>
      <c r="BA140" t="s">
        <v>63</v>
      </c>
      <c r="BB140">
        <v>806.03</v>
      </c>
    </row>
    <row r="141" spans="1:54" ht="15.75" customHeight="1" x14ac:dyDescent="0.3">
      <c r="A141" s="22" t="s">
        <v>30</v>
      </c>
      <c r="B141" s="6" t="s">
        <v>28</v>
      </c>
      <c r="C141" s="6" t="s">
        <v>36</v>
      </c>
      <c r="D141" s="6" t="s">
        <v>29</v>
      </c>
      <c r="E141" s="13">
        <v>1432.47</v>
      </c>
      <c r="F141" s="6">
        <v>16</v>
      </c>
      <c r="G141" s="6">
        <v>0.15</v>
      </c>
      <c r="H141" s="33">
        <f t="shared" si="6"/>
        <v>12</v>
      </c>
      <c r="I141" s="19">
        <v>45640</v>
      </c>
      <c r="J141" s="13">
        <v>426.16</v>
      </c>
      <c r="L141" t="s">
        <v>28</v>
      </c>
      <c r="M141">
        <v>1432.47</v>
      </c>
      <c r="N141" s="8">
        <v>0.15</v>
      </c>
      <c r="O141" s="11">
        <v>426.16</v>
      </c>
      <c r="Q141" s="11">
        <f t="shared" si="7"/>
        <v>791.43949999999995</v>
      </c>
      <c r="AU141" s="11">
        <v>1432.47</v>
      </c>
      <c r="AW141" s="27">
        <f t="shared" si="8"/>
        <v>3.9170104784044271E-2</v>
      </c>
      <c r="BA141" t="s">
        <v>28</v>
      </c>
      <c r="BB141">
        <v>1432.47</v>
      </c>
    </row>
    <row r="142" spans="1:54" ht="15.75" customHeight="1" x14ac:dyDescent="0.3">
      <c r="A142" s="22" t="s">
        <v>76</v>
      </c>
      <c r="B142" s="6" t="s">
        <v>31</v>
      </c>
      <c r="C142" s="6" t="s">
        <v>36</v>
      </c>
      <c r="D142" s="6" t="s">
        <v>23</v>
      </c>
      <c r="E142" s="13">
        <v>1488.58</v>
      </c>
      <c r="F142" s="6">
        <v>10</v>
      </c>
      <c r="G142" s="6">
        <v>0.15</v>
      </c>
      <c r="H142" s="33">
        <f t="shared" si="6"/>
        <v>12</v>
      </c>
      <c r="I142" s="19">
        <v>45640</v>
      </c>
      <c r="J142" s="13">
        <v>316.32</v>
      </c>
      <c r="L142" t="s">
        <v>31</v>
      </c>
      <c r="M142">
        <v>1488.58</v>
      </c>
      <c r="N142" s="8">
        <v>0.15</v>
      </c>
      <c r="O142" s="11">
        <v>316.32</v>
      </c>
      <c r="Q142" s="11">
        <f t="shared" si="7"/>
        <v>948.97299999999996</v>
      </c>
      <c r="AU142" s="11">
        <v>1488.58</v>
      </c>
      <c r="AW142" s="27">
        <f t="shared" si="8"/>
        <v>-0.17286272823764928</v>
      </c>
      <c r="BA142" t="s">
        <v>31</v>
      </c>
      <c r="BB142">
        <v>1488.58</v>
      </c>
    </row>
    <row r="143" spans="1:54" ht="15.75" customHeight="1" x14ac:dyDescent="0.3">
      <c r="A143" s="22" t="s">
        <v>32</v>
      </c>
      <c r="B143" s="6" t="s">
        <v>68</v>
      </c>
      <c r="C143" s="6" t="s">
        <v>20</v>
      </c>
      <c r="D143" s="6" t="s">
        <v>14</v>
      </c>
      <c r="E143" s="13">
        <v>1231.26</v>
      </c>
      <c r="F143" s="6">
        <v>9</v>
      </c>
      <c r="G143" s="6">
        <v>0</v>
      </c>
      <c r="H143" s="33">
        <f t="shared" si="6"/>
        <v>12</v>
      </c>
      <c r="I143" s="19">
        <v>45646</v>
      </c>
      <c r="J143" s="13">
        <v>492.5</v>
      </c>
      <c r="L143" t="s">
        <v>68</v>
      </c>
      <c r="M143">
        <v>1231.26</v>
      </c>
      <c r="N143" s="8">
        <v>0</v>
      </c>
      <c r="O143" s="11">
        <v>492.5</v>
      </c>
      <c r="Q143" s="11">
        <f t="shared" si="7"/>
        <v>738.76</v>
      </c>
      <c r="AU143" s="11">
        <v>1231.26</v>
      </c>
      <c r="AW143" s="27">
        <f t="shared" si="8"/>
        <v>-5.651933791400672E-2</v>
      </c>
      <c r="BA143" t="s">
        <v>68</v>
      </c>
      <c r="BB143">
        <v>1231.26</v>
      </c>
    </row>
    <row r="144" spans="1:54" ht="15.75" customHeight="1" x14ac:dyDescent="0.3">
      <c r="A144" s="22" t="s">
        <v>32</v>
      </c>
      <c r="B144" s="6" t="s">
        <v>45</v>
      </c>
      <c r="C144" s="6" t="s">
        <v>13</v>
      </c>
      <c r="D144" s="6" t="s">
        <v>23</v>
      </c>
      <c r="E144" s="13">
        <v>1161.67</v>
      </c>
      <c r="F144" s="6">
        <v>19</v>
      </c>
      <c r="G144" s="6">
        <v>0.2</v>
      </c>
      <c r="H144" s="33">
        <f t="shared" si="6"/>
        <v>12</v>
      </c>
      <c r="I144" s="19">
        <v>45647</v>
      </c>
      <c r="J144" s="13">
        <v>232.33</v>
      </c>
      <c r="L144" t="s">
        <v>45</v>
      </c>
      <c r="M144">
        <v>1161.67</v>
      </c>
      <c r="N144" s="8">
        <v>0.2</v>
      </c>
      <c r="O144" s="11">
        <v>232.33</v>
      </c>
      <c r="Q144" s="11">
        <f t="shared" si="7"/>
        <v>697.00600000000009</v>
      </c>
      <c r="AU144" s="11">
        <v>1161.67</v>
      </c>
      <c r="AW144" s="27">
        <f t="shared" si="8"/>
        <v>-0.66580009813458207</v>
      </c>
      <c r="BA144" t="s">
        <v>45</v>
      </c>
      <c r="BB144">
        <v>1161.67</v>
      </c>
    </row>
    <row r="145" spans="1:54" ht="15.75" customHeight="1" x14ac:dyDescent="0.3">
      <c r="A145" s="22" t="s">
        <v>51</v>
      </c>
      <c r="B145" s="6" t="s">
        <v>47</v>
      </c>
      <c r="C145" s="6" t="s">
        <v>36</v>
      </c>
      <c r="D145" s="6" t="s">
        <v>41</v>
      </c>
      <c r="E145" s="13">
        <v>388.23</v>
      </c>
      <c r="F145" s="6">
        <v>16</v>
      </c>
      <c r="G145" s="6">
        <v>0.05</v>
      </c>
      <c r="H145" s="33">
        <f t="shared" si="6"/>
        <v>12</v>
      </c>
      <c r="I145" s="19">
        <v>45650</v>
      </c>
      <c r="J145" s="13">
        <v>165.97</v>
      </c>
      <c r="L145" t="s">
        <v>47</v>
      </c>
      <c r="M145">
        <v>388.23</v>
      </c>
      <c r="N145" s="8">
        <v>0.05</v>
      </c>
      <c r="O145" s="11">
        <v>165.97</v>
      </c>
      <c r="Q145" s="11">
        <f t="shared" si="7"/>
        <v>202.84849999999997</v>
      </c>
      <c r="AU145" s="11">
        <v>388.23</v>
      </c>
      <c r="AW145" s="27">
        <f t="shared" si="8"/>
        <v>3.0940164335574272</v>
      </c>
      <c r="BA145" t="s">
        <v>47</v>
      </c>
      <c r="BB145">
        <v>388.23</v>
      </c>
    </row>
    <row r="146" spans="1:54" ht="15.75" customHeight="1" x14ac:dyDescent="0.3">
      <c r="A146" s="22" t="s">
        <v>74</v>
      </c>
      <c r="B146" s="6" t="s">
        <v>33</v>
      </c>
      <c r="C146" s="6" t="s">
        <v>26</v>
      </c>
      <c r="D146" s="6" t="s">
        <v>17</v>
      </c>
      <c r="E146" s="13">
        <v>1589.42</v>
      </c>
      <c r="F146" s="6">
        <v>6</v>
      </c>
      <c r="G146" s="6">
        <v>0.15</v>
      </c>
      <c r="H146" s="33">
        <f t="shared" si="6"/>
        <v>12</v>
      </c>
      <c r="I146" s="19">
        <v>45651</v>
      </c>
      <c r="J146" s="13">
        <v>675.5</v>
      </c>
      <c r="L146" t="s">
        <v>33</v>
      </c>
      <c r="M146">
        <v>1589.42</v>
      </c>
      <c r="N146" s="8">
        <v>0.15</v>
      </c>
      <c r="O146" s="11">
        <v>675.5</v>
      </c>
      <c r="Q146" s="11">
        <f t="shared" si="7"/>
        <v>675.50700000000006</v>
      </c>
      <c r="AU146" s="11">
        <v>1589.42</v>
      </c>
      <c r="AW146" s="27">
        <f t="shared" si="8"/>
        <v>-0.78818688578223495</v>
      </c>
      <c r="BA146" t="s">
        <v>33</v>
      </c>
      <c r="BB146">
        <v>1589.42</v>
      </c>
    </row>
    <row r="147" spans="1:54" ht="15.75" customHeight="1" x14ac:dyDescent="0.3">
      <c r="A147" s="22" t="s">
        <v>30</v>
      </c>
      <c r="B147" s="6" t="s">
        <v>73</v>
      </c>
      <c r="C147" s="6" t="s">
        <v>26</v>
      </c>
      <c r="D147" s="6" t="s">
        <v>17</v>
      </c>
      <c r="E147" s="13">
        <v>336.66</v>
      </c>
      <c r="F147" s="6">
        <v>13</v>
      </c>
      <c r="G147" s="6">
        <v>0.2</v>
      </c>
      <c r="H147" s="33">
        <f t="shared" si="6"/>
        <v>12</v>
      </c>
      <c r="I147" s="19">
        <v>45651</v>
      </c>
      <c r="J147" s="13">
        <v>134.66</v>
      </c>
      <c r="L147" t="s">
        <v>73</v>
      </c>
      <c r="M147">
        <v>336.66</v>
      </c>
      <c r="N147" s="8">
        <v>0.2</v>
      </c>
      <c r="O147" s="11">
        <v>134.66</v>
      </c>
      <c r="Q147" s="11">
        <f t="shared" si="7"/>
        <v>134.66800000000003</v>
      </c>
      <c r="AU147" s="11">
        <v>336.66</v>
      </c>
      <c r="AW147" s="27">
        <f t="shared" si="8"/>
        <v>3.0212380443177085</v>
      </c>
      <c r="BA147" t="s">
        <v>73</v>
      </c>
      <c r="BB147">
        <v>336.66</v>
      </c>
    </row>
    <row r="148" spans="1:54" ht="15.75" customHeight="1" x14ac:dyDescent="0.3">
      <c r="A148" s="22" t="s">
        <v>51</v>
      </c>
      <c r="B148" s="6" t="s">
        <v>25</v>
      </c>
      <c r="C148" s="6" t="s">
        <v>13</v>
      </c>
      <c r="D148" s="6" t="s">
        <v>14</v>
      </c>
      <c r="E148" s="13">
        <v>1353.79</v>
      </c>
      <c r="F148" s="6">
        <v>14</v>
      </c>
      <c r="G148" s="6">
        <v>0.1</v>
      </c>
      <c r="H148" s="33">
        <f t="shared" si="6"/>
        <v>12</v>
      </c>
      <c r="I148" s="19">
        <v>45656</v>
      </c>
      <c r="J148" s="13">
        <v>487.36</v>
      </c>
      <c r="L148" t="s">
        <v>25</v>
      </c>
      <c r="M148">
        <v>1353.79</v>
      </c>
      <c r="N148" s="8">
        <v>0.1</v>
      </c>
      <c r="O148" s="11">
        <v>487.36</v>
      </c>
      <c r="Q148" s="11">
        <f t="shared" si="7"/>
        <v>731.05100000000004</v>
      </c>
      <c r="AU148" s="11">
        <v>1353.79</v>
      </c>
      <c r="AW148" s="27">
        <f t="shared" si="8"/>
        <v>-0.51055185811684234</v>
      </c>
      <c r="BA148" t="s">
        <v>25</v>
      </c>
      <c r="BB148">
        <v>1353.79</v>
      </c>
    </row>
    <row r="149" spans="1:54" ht="15.75" customHeight="1" x14ac:dyDescent="0.3">
      <c r="A149" s="22" t="s">
        <v>65</v>
      </c>
      <c r="B149" s="6" t="s">
        <v>71</v>
      </c>
      <c r="C149" s="6" t="s">
        <v>36</v>
      </c>
      <c r="D149" s="6" t="s">
        <v>17</v>
      </c>
      <c r="E149" s="13">
        <v>662.61</v>
      </c>
      <c r="F149" s="6">
        <v>11</v>
      </c>
      <c r="G149" s="6">
        <v>0.05</v>
      </c>
      <c r="H149" s="33">
        <f t="shared" si="6"/>
        <v>1</v>
      </c>
      <c r="I149" s="19">
        <v>45658</v>
      </c>
      <c r="J149" s="13">
        <v>314.74</v>
      </c>
      <c r="L149" t="s">
        <v>71</v>
      </c>
      <c r="M149">
        <v>662.61</v>
      </c>
      <c r="N149" s="8">
        <v>0.05</v>
      </c>
      <c r="O149" s="11">
        <v>314.74</v>
      </c>
      <c r="Q149" s="11">
        <f t="shared" si="7"/>
        <v>314.73950000000002</v>
      </c>
      <c r="AU149" s="11">
        <v>662.61</v>
      </c>
      <c r="AW149" s="27">
        <f t="shared" si="8"/>
        <v>-0.53302847829039701</v>
      </c>
      <c r="BA149" t="s">
        <v>71</v>
      </c>
      <c r="BB149">
        <v>662.61</v>
      </c>
    </row>
    <row r="150" spans="1:54" ht="15.75" customHeight="1" x14ac:dyDescent="0.3">
      <c r="A150" s="22" t="s">
        <v>54</v>
      </c>
      <c r="B150" s="6" t="s">
        <v>50</v>
      </c>
      <c r="C150" s="6" t="s">
        <v>26</v>
      </c>
      <c r="D150" s="6" t="s">
        <v>41</v>
      </c>
      <c r="E150" s="13">
        <v>309.42</v>
      </c>
      <c r="F150" s="6">
        <v>1</v>
      </c>
      <c r="G150" s="6">
        <v>0.2</v>
      </c>
      <c r="H150" s="33">
        <f t="shared" si="6"/>
        <v>1</v>
      </c>
      <c r="I150" s="19">
        <v>45658</v>
      </c>
      <c r="J150" s="13">
        <v>111.39</v>
      </c>
      <c r="L150" t="s">
        <v>50</v>
      </c>
      <c r="M150">
        <v>309.42</v>
      </c>
      <c r="N150" s="8">
        <v>0.2</v>
      </c>
      <c r="O150" s="11">
        <v>111.39</v>
      </c>
      <c r="Q150" s="11">
        <f t="shared" si="7"/>
        <v>136.14600000000002</v>
      </c>
      <c r="AU150" s="11">
        <v>309.42</v>
      </c>
      <c r="AW150" s="27">
        <f t="shared" si="8"/>
        <v>1.8589942473014027</v>
      </c>
      <c r="BA150" t="s">
        <v>50</v>
      </c>
      <c r="BB150">
        <v>309.42</v>
      </c>
    </row>
    <row r="151" spans="1:54" ht="15.75" customHeight="1" x14ac:dyDescent="0.3">
      <c r="A151" s="22" t="s">
        <v>65</v>
      </c>
      <c r="B151" s="6" t="s">
        <v>31</v>
      </c>
      <c r="C151" s="6" t="s">
        <v>26</v>
      </c>
      <c r="D151" s="6" t="s">
        <v>14</v>
      </c>
      <c r="E151" s="13">
        <v>884.63</v>
      </c>
      <c r="F151" s="6">
        <v>18</v>
      </c>
      <c r="G151" s="6">
        <v>0.1</v>
      </c>
      <c r="H151" s="33">
        <f t="shared" si="6"/>
        <v>1</v>
      </c>
      <c r="I151" s="19">
        <v>45659</v>
      </c>
      <c r="J151" s="13">
        <v>318.47000000000003</v>
      </c>
      <c r="L151" t="s">
        <v>31</v>
      </c>
      <c r="M151">
        <v>884.63</v>
      </c>
      <c r="N151" s="8">
        <v>0.1</v>
      </c>
      <c r="O151" s="11">
        <v>318.47000000000003</v>
      </c>
      <c r="Q151" s="11">
        <f t="shared" si="7"/>
        <v>477.697</v>
      </c>
      <c r="AU151" s="11">
        <v>884.63</v>
      </c>
      <c r="AW151" s="27">
        <f t="shared" si="8"/>
        <v>-0.15778348009902449</v>
      </c>
      <c r="BA151" t="s">
        <v>31</v>
      </c>
      <c r="BB151">
        <v>884.63</v>
      </c>
    </row>
    <row r="152" spans="1:54" ht="15.75" customHeight="1" x14ac:dyDescent="0.3">
      <c r="A152" s="22" t="s">
        <v>54</v>
      </c>
      <c r="B152" s="6" t="s">
        <v>25</v>
      </c>
      <c r="C152" s="6" t="s">
        <v>36</v>
      </c>
      <c r="D152" s="6" t="s">
        <v>41</v>
      </c>
      <c r="E152" s="13">
        <v>745.05</v>
      </c>
      <c r="F152" s="6">
        <v>10</v>
      </c>
      <c r="G152" s="6">
        <v>0.1</v>
      </c>
      <c r="H152" s="33">
        <f t="shared" si="6"/>
        <v>1</v>
      </c>
      <c r="I152" s="19">
        <v>45660</v>
      </c>
      <c r="J152" s="13">
        <v>301.75</v>
      </c>
      <c r="L152" t="s">
        <v>25</v>
      </c>
      <c r="M152">
        <v>745.05</v>
      </c>
      <c r="N152" s="8">
        <v>0.1</v>
      </c>
      <c r="O152" s="11">
        <v>301.75</v>
      </c>
      <c r="Q152" s="11">
        <f t="shared" si="7"/>
        <v>368.79499999999996</v>
      </c>
      <c r="AU152" s="11">
        <v>745.05</v>
      </c>
      <c r="AW152" s="27">
        <f t="shared" si="8"/>
        <v>0.16801556942487092</v>
      </c>
      <c r="BA152" t="s">
        <v>25</v>
      </c>
      <c r="BB152">
        <v>745.05</v>
      </c>
    </row>
    <row r="153" spans="1:54" ht="15.75" customHeight="1" x14ac:dyDescent="0.3">
      <c r="A153" s="22" t="s">
        <v>62</v>
      </c>
      <c r="B153" s="6" t="s">
        <v>19</v>
      </c>
      <c r="C153" s="6" t="s">
        <v>22</v>
      </c>
      <c r="D153" s="6" t="s">
        <v>17</v>
      </c>
      <c r="E153" s="13">
        <v>870.23</v>
      </c>
      <c r="F153" s="6">
        <v>5</v>
      </c>
      <c r="G153" s="6">
        <v>0.05</v>
      </c>
      <c r="H153" s="33">
        <f t="shared" si="6"/>
        <v>1</v>
      </c>
      <c r="I153" s="19">
        <v>45660</v>
      </c>
      <c r="J153" s="13">
        <v>413.36</v>
      </c>
      <c r="L153" t="s">
        <v>19</v>
      </c>
      <c r="M153">
        <v>870.23</v>
      </c>
      <c r="N153" s="8">
        <v>0.05</v>
      </c>
      <c r="O153" s="11">
        <v>413.36</v>
      </c>
      <c r="Q153" s="11">
        <f t="shared" si="7"/>
        <v>413.35849999999994</v>
      </c>
      <c r="AU153" s="11">
        <v>870.23</v>
      </c>
      <c r="AW153" s="27">
        <f t="shared" si="8"/>
        <v>-9.2389368327912887E-3</v>
      </c>
      <c r="BA153" t="s">
        <v>19</v>
      </c>
      <c r="BB153">
        <v>870.23</v>
      </c>
    </row>
    <row r="154" spans="1:54" ht="15.75" customHeight="1" x14ac:dyDescent="0.3">
      <c r="A154" s="22" t="s">
        <v>37</v>
      </c>
      <c r="B154" s="6" t="s">
        <v>31</v>
      </c>
      <c r="C154" s="6" t="s">
        <v>13</v>
      </c>
      <c r="D154" s="6" t="s">
        <v>29</v>
      </c>
      <c r="E154" s="13">
        <v>862.19</v>
      </c>
      <c r="F154" s="6">
        <v>18</v>
      </c>
      <c r="G154" s="6">
        <v>0.05</v>
      </c>
      <c r="H154" s="33">
        <f t="shared" si="6"/>
        <v>1</v>
      </c>
      <c r="I154" s="19">
        <v>45663</v>
      </c>
      <c r="J154" s="13">
        <v>286.68</v>
      </c>
      <c r="L154" t="s">
        <v>31</v>
      </c>
      <c r="M154">
        <v>862.19</v>
      </c>
      <c r="N154" s="8">
        <v>0.05</v>
      </c>
      <c r="O154" s="11">
        <v>286.68</v>
      </c>
      <c r="Q154" s="11">
        <f t="shared" si="7"/>
        <v>532.40049999999997</v>
      </c>
      <c r="AU154" s="11">
        <v>862.19</v>
      </c>
      <c r="AW154" s="27">
        <f t="shared" si="8"/>
        <v>0.3583780837170461</v>
      </c>
      <c r="BA154" t="s">
        <v>31</v>
      </c>
      <c r="BB154">
        <v>862.19</v>
      </c>
    </row>
    <row r="155" spans="1:54" ht="15.75" customHeight="1" x14ac:dyDescent="0.3">
      <c r="A155" s="22" t="s">
        <v>75</v>
      </c>
      <c r="B155" s="6" t="s">
        <v>61</v>
      </c>
      <c r="C155" s="6" t="s">
        <v>26</v>
      </c>
      <c r="D155" s="6" t="s">
        <v>17</v>
      </c>
      <c r="E155" s="13">
        <v>1171.18</v>
      </c>
      <c r="F155" s="6">
        <v>19</v>
      </c>
      <c r="G155" s="6">
        <v>0.05</v>
      </c>
      <c r="H155" s="33">
        <f t="shared" si="6"/>
        <v>1</v>
      </c>
      <c r="I155" s="19">
        <v>45667</v>
      </c>
      <c r="J155" s="13">
        <v>556.30999999999995</v>
      </c>
      <c r="L155" t="s">
        <v>61</v>
      </c>
      <c r="M155">
        <v>1171.18</v>
      </c>
      <c r="N155" s="8">
        <v>0.05</v>
      </c>
      <c r="O155" s="11">
        <v>556.30999999999995</v>
      </c>
      <c r="Q155" s="11">
        <f t="shared" si="7"/>
        <v>556.31100000000015</v>
      </c>
      <c r="AU155" s="11">
        <v>1171.18</v>
      </c>
      <c r="AW155" s="27">
        <f t="shared" si="8"/>
        <v>-9.9574787820830374E-2</v>
      </c>
      <c r="BA155" t="s">
        <v>61</v>
      </c>
      <c r="BB155">
        <v>1171.18</v>
      </c>
    </row>
    <row r="156" spans="1:54" ht="15.75" customHeight="1" x14ac:dyDescent="0.3">
      <c r="A156" s="22" t="s">
        <v>60</v>
      </c>
      <c r="B156" s="6" t="s">
        <v>16</v>
      </c>
      <c r="C156" s="6" t="s">
        <v>22</v>
      </c>
      <c r="D156" s="6" t="s">
        <v>29</v>
      </c>
      <c r="E156" s="13">
        <v>1054.56</v>
      </c>
      <c r="F156" s="6">
        <v>11</v>
      </c>
      <c r="G156" s="6">
        <v>0.1</v>
      </c>
      <c r="H156" s="33">
        <f t="shared" si="6"/>
        <v>1</v>
      </c>
      <c r="I156" s="19">
        <v>45669</v>
      </c>
      <c r="J156" s="13">
        <v>332.19</v>
      </c>
      <c r="L156" t="s">
        <v>16</v>
      </c>
      <c r="M156">
        <v>1054.56</v>
      </c>
      <c r="N156" s="8">
        <v>0.1</v>
      </c>
      <c r="O156" s="11">
        <v>332.19</v>
      </c>
      <c r="Q156" s="11">
        <f t="shared" si="7"/>
        <v>616.91399999999999</v>
      </c>
      <c r="AU156" s="11">
        <v>1054.56</v>
      </c>
      <c r="AW156" s="27">
        <f t="shared" si="8"/>
        <v>0.59422887270520419</v>
      </c>
      <c r="BA156" t="s">
        <v>16</v>
      </c>
      <c r="BB156">
        <v>1054.56</v>
      </c>
    </row>
    <row r="157" spans="1:54" ht="15.75" customHeight="1" x14ac:dyDescent="0.3">
      <c r="A157" s="22" t="s">
        <v>60</v>
      </c>
      <c r="B157" s="6" t="s">
        <v>25</v>
      </c>
      <c r="C157" s="6" t="s">
        <v>26</v>
      </c>
      <c r="D157" s="6" t="s">
        <v>23</v>
      </c>
      <c r="E157" s="13">
        <v>1681.21</v>
      </c>
      <c r="F157" s="6">
        <v>5</v>
      </c>
      <c r="G157" s="6">
        <v>0.2</v>
      </c>
      <c r="H157" s="33">
        <f t="shared" si="6"/>
        <v>1</v>
      </c>
      <c r="I157" s="19">
        <v>45670</v>
      </c>
      <c r="J157" s="13">
        <v>336.24</v>
      </c>
      <c r="L157" t="s">
        <v>25</v>
      </c>
      <c r="M157">
        <v>1681.21</v>
      </c>
      <c r="N157" s="8">
        <v>0.2</v>
      </c>
      <c r="O157" s="11">
        <v>336.24</v>
      </c>
      <c r="Q157" s="11">
        <f t="shared" si="7"/>
        <v>1008.7280000000001</v>
      </c>
      <c r="AU157" s="11">
        <v>1681.21</v>
      </c>
      <c r="AW157" s="27">
        <f t="shared" si="8"/>
        <v>-0.77410912378584473</v>
      </c>
      <c r="BA157" t="s">
        <v>25</v>
      </c>
      <c r="BB157">
        <v>1681.21</v>
      </c>
    </row>
    <row r="158" spans="1:54" ht="15.75" customHeight="1" x14ac:dyDescent="0.3">
      <c r="A158" s="22" t="s">
        <v>60</v>
      </c>
      <c r="B158" s="6" t="s">
        <v>38</v>
      </c>
      <c r="C158" s="6" t="s">
        <v>13</v>
      </c>
      <c r="D158" s="6" t="s">
        <v>17</v>
      </c>
      <c r="E158" s="13">
        <v>379.77</v>
      </c>
      <c r="F158" s="6">
        <v>9</v>
      </c>
      <c r="G158" s="6">
        <v>0.05</v>
      </c>
      <c r="H158" s="33">
        <f t="shared" si="6"/>
        <v>1</v>
      </c>
      <c r="I158" s="19">
        <v>45673</v>
      </c>
      <c r="J158" s="13">
        <v>180.39</v>
      </c>
      <c r="L158" t="s">
        <v>38</v>
      </c>
      <c r="M158">
        <v>379.77</v>
      </c>
      <c r="N158" s="8">
        <v>0.05</v>
      </c>
      <c r="O158" s="11">
        <v>180.39</v>
      </c>
      <c r="Q158" s="11">
        <f t="shared" si="7"/>
        <v>180.39150000000001</v>
      </c>
      <c r="AU158" s="11">
        <v>379.77</v>
      </c>
      <c r="AW158" s="27">
        <f t="shared" si="8"/>
        <v>1.8341627827369196</v>
      </c>
      <c r="BA158" t="s">
        <v>38</v>
      </c>
      <c r="BB158">
        <v>379.77</v>
      </c>
    </row>
    <row r="159" spans="1:54" ht="15.75" customHeight="1" x14ac:dyDescent="0.3">
      <c r="A159" s="22" t="s">
        <v>46</v>
      </c>
      <c r="B159" s="6" t="s">
        <v>47</v>
      </c>
      <c r="C159" s="6" t="s">
        <v>36</v>
      </c>
      <c r="D159" s="6" t="s">
        <v>17</v>
      </c>
      <c r="E159" s="13">
        <v>1076.33</v>
      </c>
      <c r="F159" s="6">
        <v>2</v>
      </c>
      <c r="G159" s="6">
        <v>0.1</v>
      </c>
      <c r="H159" s="33">
        <f t="shared" si="6"/>
        <v>1</v>
      </c>
      <c r="I159" s="19">
        <v>45674</v>
      </c>
      <c r="J159" s="13">
        <v>484.35</v>
      </c>
      <c r="L159" t="s">
        <v>47</v>
      </c>
      <c r="M159">
        <v>1076.33</v>
      </c>
      <c r="N159" s="8">
        <v>0.1</v>
      </c>
      <c r="O159" s="11">
        <v>484.35</v>
      </c>
      <c r="Q159" s="11">
        <f t="shared" si="7"/>
        <v>484.34699999999998</v>
      </c>
      <c r="AU159" s="11">
        <v>1076.33</v>
      </c>
      <c r="AW159" s="27">
        <f t="shared" si="8"/>
        <v>0.16201350886809818</v>
      </c>
      <c r="BA159" t="s">
        <v>47</v>
      </c>
      <c r="BB159">
        <v>1076.33</v>
      </c>
    </row>
    <row r="160" spans="1:54" ht="15.75" customHeight="1" x14ac:dyDescent="0.3">
      <c r="A160" s="22" t="s">
        <v>46</v>
      </c>
      <c r="B160" s="6" t="s">
        <v>33</v>
      </c>
      <c r="C160" s="6" t="s">
        <v>36</v>
      </c>
      <c r="D160" s="6" t="s">
        <v>41</v>
      </c>
      <c r="E160" s="13">
        <v>1250.71</v>
      </c>
      <c r="F160" s="6">
        <v>7</v>
      </c>
      <c r="G160" s="6">
        <v>0</v>
      </c>
      <c r="H160" s="33">
        <f t="shared" si="6"/>
        <v>1</v>
      </c>
      <c r="I160" s="19">
        <v>45674</v>
      </c>
      <c r="J160" s="13">
        <v>562.82000000000005</v>
      </c>
      <c r="L160" t="s">
        <v>33</v>
      </c>
      <c r="M160">
        <v>1250.71</v>
      </c>
      <c r="N160" s="8">
        <v>0</v>
      </c>
      <c r="O160" s="11">
        <v>562.82000000000005</v>
      </c>
      <c r="Q160" s="11">
        <f t="shared" si="7"/>
        <v>687.89</v>
      </c>
      <c r="AU160" s="11">
        <v>1250.71</v>
      </c>
      <c r="AW160" s="27">
        <f t="shared" si="8"/>
        <v>-0.10583588521719672</v>
      </c>
      <c r="BA160" t="s">
        <v>33</v>
      </c>
      <c r="BB160">
        <v>1250.71</v>
      </c>
    </row>
    <row r="161" spans="1:54" ht="15.75" customHeight="1" x14ac:dyDescent="0.3">
      <c r="A161" s="22" t="s">
        <v>42</v>
      </c>
      <c r="B161" s="6" t="s">
        <v>19</v>
      </c>
      <c r="C161" s="6" t="s">
        <v>22</v>
      </c>
      <c r="D161" s="6" t="s">
        <v>17</v>
      </c>
      <c r="E161" s="13">
        <v>1118.3399999999999</v>
      </c>
      <c r="F161" s="6">
        <v>6</v>
      </c>
      <c r="G161" s="6">
        <v>0.2</v>
      </c>
      <c r="H161" s="33">
        <f t="shared" si="6"/>
        <v>1</v>
      </c>
      <c r="I161" s="19">
        <v>45674</v>
      </c>
      <c r="J161" s="13">
        <v>447.34</v>
      </c>
      <c r="L161" t="s">
        <v>19</v>
      </c>
      <c r="M161">
        <v>1118.3399999999999</v>
      </c>
      <c r="N161" s="8">
        <v>0.2</v>
      </c>
      <c r="O161" s="11">
        <v>447.34</v>
      </c>
      <c r="Q161" s="11">
        <f t="shared" si="7"/>
        <v>447.33200000000005</v>
      </c>
      <c r="AU161" s="11">
        <v>1118.3399999999999</v>
      </c>
      <c r="AW161" s="27">
        <f t="shared" si="8"/>
        <v>0.45091832537510956</v>
      </c>
      <c r="BA161" t="s">
        <v>19</v>
      </c>
      <c r="BB161">
        <v>1118.3399999999999</v>
      </c>
    </row>
    <row r="162" spans="1:54" ht="15.75" customHeight="1" x14ac:dyDescent="0.3">
      <c r="A162" s="22" t="s">
        <v>72</v>
      </c>
      <c r="B162" s="6" t="s">
        <v>55</v>
      </c>
      <c r="C162" s="6" t="s">
        <v>26</v>
      </c>
      <c r="D162" s="6" t="s">
        <v>17</v>
      </c>
      <c r="E162" s="13">
        <v>1622.62</v>
      </c>
      <c r="F162" s="6">
        <v>12</v>
      </c>
      <c r="G162" s="6">
        <v>0.2</v>
      </c>
      <c r="H162" s="33">
        <f t="shared" si="6"/>
        <v>1</v>
      </c>
      <c r="I162" s="19">
        <v>45677</v>
      </c>
      <c r="J162" s="13">
        <v>649.04999999999995</v>
      </c>
      <c r="L162" t="s">
        <v>55</v>
      </c>
      <c r="M162">
        <v>1622.62</v>
      </c>
      <c r="N162" s="8">
        <v>0.2</v>
      </c>
      <c r="O162" s="11">
        <v>649.04999999999995</v>
      </c>
      <c r="Q162" s="11">
        <f t="shared" si="7"/>
        <v>649.04600000000005</v>
      </c>
      <c r="AU162" s="11">
        <v>1622.62</v>
      </c>
      <c r="AW162" s="27">
        <f t="shared" si="8"/>
        <v>-0.60518174310682726</v>
      </c>
      <c r="BA162" t="s">
        <v>55</v>
      </c>
      <c r="BB162">
        <v>1622.62</v>
      </c>
    </row>
    <row r="163" spans="1:54" ht="15.75" customHeight="1" x14ac:dyDescent="0.3">
      <c r="A163" s="22" t="s">
        <v>77</v>
      </c>
      <c r="B163" s="6" t="s">
        <v>50</v>
      </c>
      <c r="C163" s="6" t="s">
        <v>26</v>
      </c>
      <c r="D163" s="6" t="s">
        <v>14</v>
      </c>
      <c r="E163" s="13">
        <v>640.64</v>
      </c>
      <c r="F163" s="6">
        <v>11</v>
      </c>
      <c r="G163" s="6">
        <v>0.2</v>
      </c>
      <c r="H163" s="33">
        <f t="shared" si="6"/>
        <v>1</v>
      </c>
      <c r="I163" s="19">
        <v>45678</v>
      </c>
      <c r="J163" s="13">
        <v>205</v>
      </c>
      <c r="L163" t="s">
        <v>50</v>
      </c>
      <c r="M163">
        <v>640.64</v>
      </c>
      <c r="N163" s="8">
        <v>0.2</v>
      </c>
      <c r="O163" s="11">
        <v>205</v>
      </c>
      <c r="Q163" s="11">
        <f t="shared" si="7"/>
        <v>307.51200000000006</v>
      </c>
      <c r="AU163" s="11">
        <v>640.64</v>
      </c>
      <c r="AW163" s="27">
        <f t="shared" si="8"/>
        <v>-8.6600899100899131E-2</v>
      </c>
      <c r="BA163" t="s">
        <v>50</v>
      </c>
      <c r="BB163">
        <v>640.64</v>
      </c>
    </row>
    <row r="164" spans="1:54" ht="15.75" customHeight="1" x14ac:dyDescent="0.3">
      <c r="A164" s="22" t="s">
        <v>24</v>
      </c>
      <c r="B164" s="6" t="s">
        <v>45</v>
      </c>
      <c r="C164" s="6" t="s">
        <v>13</v>
      </c>
      <c r="D164" s="6" t="s">
        <v>17</v>
      </c>
      <c r="E164" s="13">
        <v>585.16</v>
      </c>
      <c r="F164" s="6">
        <v>17</v>
      </c>
      <c r="G164" s="6">
        <v>0.1</v>
      </c>
      <c r="H164" s="33">
        <f t="shared" si="6"/>
        <v>1</v>
      </c>
      <c r="I164" s="19">
        <v>45684</v>
      </c>
      <c r="J164" s="13">
        <v>263.32</v>
      </c>
      <c r="L164" t="s">
        <v>45</v>
      </c>
      <c r="M164">
        <v>585.16</v>
      </c>
      <c r="N164" s="8">
        <v>0.1</v>
      </c>
      <c r="O164" s="11">
        <v>263.32</v>
      </c>
      <c r="Q164" s="11">
        <f t="shared" si="7"/>
        <v>263.32400000000001</v>
      </c>
      <c r="AU164" s="11">
        <v>585.16</v>
      </c>
      <c r="AW164" s="27">
        <f t="shared" si="8"/>
        <v>0.8968829038211773</v>
      </c>
      <c r="BA164" t="s">
        <v>45</v>
      </c>
      <c r="BB164">
        <v>585.16</v>
      </c>
    </row>
    <row r="165" spans="1:54" ht="15.75" customHeight="1" x14ac:dyDescent="0.3">
      <c r="A165" s="22" t="s">
        <v>24</v>
      </c>
      <c r="B165" s="6" t="s">
        <v>33</v>
      </c>
      <c r="C165" s="6" t="s">
        <v>20</v>
      </c>
      <c r="D165" s="6" t="s">
        <v>17</v>
      </c>
      <c r="E165" s="13">
        <v>1109.98</v>
      </c>
      <c r="F165" s="6">
        <v>5</v>
      </c>
      <c r="G165" s="6">
        <v>0.2</v>
      </c>
      <c r="H165" s="33">
        <f t="shared" si="6"/>
        <v>2</v>
      </c>
      <c r="I165" s="19">
        <v>45690</v>
      </c>
      <c r="J165" s="13">
        <v>443.99</v>
      </c>
      <c r="L165" t="s">
        <v>33</v>
      </c>
      <c r="M165">
        <v>1109.98</v>
      </c>
      <c r="N165" s="8">
        <v>0.2</v>
      </c>
      <c r="O165" s="11">
        <v>443.99</v>
      </c>
      <c r="Q165" s="11">
        <f t="shared" si="7"/>
        <v>443.99400000000003</v>
      </c>
      <c r="AU165" s="11">
        <v>1109.98</v>
      </c>
      <c r="AW165" s="27">
        <f t="shared" si="8"/>
        <v>-1.0720913890340448E-2</v>
      </c>
      <c r="BA165" t="s">
        <v>33</v>
      </c>
      <c r="BB165">
        <v>1109.98</v>
      </c>
    </row>
    <row r="166" spans="1:54" ht="15.75" customHeight="1" x14ac:dyDescent="0.3">
      <c r="A166" s="22" t="s">
        <v>60</v>
      </c>
      <c r="B166" s="6" t="s">
        <v>47</v>
      </c>
      <c r="C166" s="6" t="s">
        <v>20</v>
      </c>
      <c r="D166" s="6" t="s">
        <v>14</v>
      </c>
      <c r="E166" s="13">
        <v>1098.08</v>
      </c>
      <c r="F166" s="6">
        <v>9</v>
      </c>
      <c r="G166" s="6">
        <v>0.1</v>
      </c>
      <c r="H166" s="33">
        <f t="shared" si="6"/>
        <v>2</v>
      </c>
      <c r="I166" s="19">
        <v>45692</v>
      </c>
      <c r="J166" s="13">
        <v>395.31</v>
      </c>
      <c r="L166" t="s">
        <v>47</v>
      </c>
      <c r="M166">
        <v>1098.08</v>
      </c>
      <c r="N166" s="8">
        <v>0.1</v>
      </c>
      <c r="O166" s="11">
        <v>395.31</v>
      </c>
      <c r="Q166" s="11">
        <f t="shared" si="7"/>
        <v>592.96199999999999</v>
      </c>
      <c r="AU166" s="11">
        <v>1098.08</v>
      </c>
      <c r="AW166" s="27">
        <f t="shared" si="8"/>
        <v>-0.24663958910097619</v>
      </c>
      <c r="BA166" t="s">
        <v>47</v>
      </c>
      <c r="BB166">
        <v>1098.08</v>
      </c>
    </row>
    <row r="167" spans="1:54" ht="15.75" customHeight="1" x14ac:dyDescent="0.3">
      <c r="A167" s="22" t="s">
        <v>67</v>
      </c>
      <c r="B167" s="6" t="s">
        <v>50</v>
      </c>
      <c r="C167" s="6" t="s">
        <v>13</v>
      </c>
      <c r="D167" s="6" t="s">
        <v>41</v>
      </c>
      <c r="E167" s="13">
        <v>827.25</v>
      </c>
      <c r="F167" s="6">
        <v>7</v>
      </c>
      <c r="G167" s="6">
        <v>0.1</v>
      </c>
      <c r="H167" s="33">
        <f t="shared" si="6"/>
        <v>2</v>
      </c>
      <c r="I167" s="19">
        <v>45693</v>
      </c>
      <c r="J167" s="13">
        <v>335.04</v>
      </c>
      <c r="L167" t="s">
        <v>50</v>
      </c>
      <c r="M167">
        <v>827.25</v>
      </c>
      <c r="N167" s="8">
        <v>0.1</v>
      </c>
      <c r="O167" s="11">
        <v>335.04</v>
      </c>
      <c r="Q167" s="11">
        <f t="shared" si="7"/>
        <v>409.48499999999996</v>
      </c>
      <c r="AU167" s="11">
        <v>827.25</v>
      </c>
      <c r="AW167" s="27">
        <f t="shared" si="8"/>
        <v>-0.10319734058627984</v>
      </c>
      <c r="BA167" t="s">
        <v>50</v>
      </c>
      <c r="BB167">
        <v>827.25</v>
      </c>
    </row>
    <row r="168" spans="1:54" ht="15.75" customHeight="1" x14ac:dyDescent="0.3">
      <c r="A168" s="22" t="s">
        <v>72</v>
      </c>
      <c r="B168" s="6" t="s">
        <v>31</v>
      </c>
      <c r="C168" s="6" t="s">
        <v>36</v>
      </c>
      <c r="D168" s="6" t="s">
        <v>17</v>
      </c>
      <c r="E168" s="13">
        <v>741.88</v>
      </c>
      <c r="F168" s="6">
        <v>16</v>
      </c>
      <c r="G168" s="6">
        <v>0.1</v>
      </c>
      <c r="H168" s="33">
        <f t="shared" si="6"/>
        <v>2</v>
      </c>
      <c r="I168" s="19">
        <v>45695</v>
      </c>
      <c r="J168" s="13">
        <v>333.85</v>
      </c>
      <c r="L168" t="s">
        <v>31</v>
      </c>
      <c r="M168">
        <v>741.88</v>
      </c>
      <c r="N168" s="8">
        <v>0.1</v>
      </c>
      <c r="O168" s="11">
        <v>333.85</v>
      </c>
      <c r="Q168" s="11">
        <f t="shared" si="7"/>
        <v>333.84199999999998</v>
      </c>
      <c r="AU168" s="11">
        <v>741.88</v>
      </c>
      <c r="AW168" s="27">
        <f t="shared" si="8"/>
        <v>0.76748261174313903</v>
      </c>
      <c r="BA168" t="s">
        <v>31</v>
      </c>
      <c r="BB168">
        <v>741.88</v>
      </c>
    </row>
    <row r="169" spans="1:54" ht="15.75" customHeight="1" x14ac:dyDescent="0.3">
      <c r="A169" s="22" t="s">
        <v>74</v>
      </c>
      <c r="B169" s="6" t="s">
        <v>12</v>
      </c>
      <c r="C169" s="6" t="s">
        <v>20</v>
      </c>
      <c r="D169" s="6" t="s">
        <v>41</v>
      </c>
      <c r="E169" s="13">
        <v>1311.26</v>
      </c>
      <c r="F169" s="6">
        <v>6</v>
      </c>
      <c r="G169" s="6">
        <v>0.1</v>
      </c>
      <c r="H169" s="33">
        <f t="shared" si="6"/>
        <v>2</v>
      </c>
      <c r="I169" s="19">
        <v>45698</v>
      </c>
      <c r="J169" s="13">
        <v>531.05999999999995</v>
      </c>
      <c r="L169" t="s">
        <v>12</v>
      </c>
      <c r="M169">
        <v>1311.26</v>
      </c>
      <c r="N169" s="8">
        <v>0.1</v>
      </c>
      <c r="O169" s="11">
        <v>531.05999999999995</v>
      </c>
      <c r="Q169" s="11">
        <f t="shared" si="7"/>
        <v>649.07400000000007</v>
      </c>
      <c r="AU169" s="11">
        <v>1311.26</v>
      </c>
      <c r="AW169" s="27">
        <f t="shared" si="8"/>
        <v>-0.56277168524930221</v>
      </c>
      <c r="BA169" t="s">
        <v>12</v>
      </c>
      <c r="BB169">
        <v>1311.26</v>
      </c>
    </row>
    <row r="170" spans="1:54" ht="15.75" customHeight="1" x14ac:dyDescent="0.3">
      <c r="A170" s="22" t="s">
        <v>74</v>
      </c>
      <c r="B170" s="6" t="s">
        <v>33</v>
      </c>
      <c r="C170" s="6" t="s">
        <v>22</v>
      </c>
      <c r="D170" s="6" t="s">
        <v>41</v>
      </c>
      <c r="E170" s="13">
        <v>573.32000000000005</v>
      </c>
      <c r="F170" s="6">
        <v>19</v>
      </c>
      <c r="G170" s="6">
        <v>0.1</v>
      </c>
      <c r="H170" s="33">
        <f t="shared" si="6"/>
        <v>2</v>
      </c>
      <c r="I170" s="19">
        <v>45703</v>
      </c>
      <c r="J170" s="13">
        <v>232.19</v>
      </c>
      <c r="L170" t="s">
        <v>33</v>
      </c>
      <c r="M170">
        <v>573.32000000000005</v>
      </c>
      <c r="N170" s="8">
        <v>0.1</v>
      </c>
      <c r="O170" s="11">
        <v>232.19</v>
      </c>
      <c r="Q170" s="11">
        <f t="shared" si="7"/>
        <v>283.79800000000006</v>
      </c>
      <c r="AU170" s="11">
        <v>573.32000000000005</v>
      </c>
      <c r="AW170" s="27">
        <f t="shared" si="8"/>
        <v>0.94519639991627702</v>
      </c>
      <c r="BA170" t="s">
        <v>33</v>
      </c>
      <c r="BB170">
        <v>573.32000000000005</v>
      </c>
    </row>
    <row r="171" spans="1:54" ht="15.75" customHeight="1" x14ac:dyDescent="0.3">
      <c r="A171" s="22" t="s">
        <v>54</v>
      </c>
      <c r="B171" s="6" t="s">
        <v>25</v>
      </c>
      <c r="C171" s="6" t="s">
        <v>13</v>
      </c>
      <c r="D171" s="6" t="s">
        <v>23</v>
      </c>
      <c r="E171" s="13">
        <v>1115.22</v>
      </c>
      <c r="F171" s="6">
        <v>14</v>
      </c>
      <c r="G171" s="6">
        <v>0.2</v>
      </c>
      <c r="H171" s="33">
        <f t="shared" si="6"/>
        <v>2</v>
      </c>
      <c r="I171" s="19">
        <v>45705</v>
      </c>
      <c r="J171" s="13">
        <v>223.04</v>
      </c>
      <c r="L171" t="s">
        <v>25</v>
      </c>
      <c r="M171">
        <v>1115.22</v>
      </c>
      <c r="N171" s="8">
        <v>0.2</v>
      </c>
      <c r="O171" s="11">
        <v>223.04</v>
      </c>
      <c r="Q171" s="11">
        <f t="shared" si="7"/>
        <v>669.13600000000008</v>
      </c>
      <c r="AU171" s="11">
        <v>1115.22</v>
      </c>
      <c r="AW171" s="27">
        <f t="shared" si="8"/>
        <v>-0.24154875271246928</v>
      </c>
      <c r="BA171" t="s">
        <v>25</v>
      </c>
      <c r="BB171">
        <v>1115.22</v>
      </c>
    </row>
    <row r="172" spans="1:54" ht="15.75" customHeight="1" x14ac:dyDescent="0.3">
      <c r="A172" s="22" t="s">
        <v>15</v>
      </c>
      <c r="B172" s="6" t="s">
        <v>47</v>
      </c>
      <c r="C172" s="6" t="s">
        <v>26</v>
      </c>
      <c r="D172" s="6" t="s">
        <v>17</v>
      </c>
      <c r="E172" s="13">
        <v>845.84</v>
      </c>
      <c r="F172" s="6">
        <v>4</v>
      </c>
      <c r="G172" s="6">
        <v>0</v>
      </c>
      <c r="H172" s="33">
        <f t="shared" si="6"/>
        <v>2</v>
      </c>
      <c r="I172" s="19">
        <v>45707</v>
      </c>
      <c r="J172" s="13">
        <v>422.92</v>
      </c>
      <c r="L172" t="s">
        <v>47</v>
      </c>
      <c r="M172">
        <v>845.84</v>
      </c>
      <c r="N172" s="8">
        <v>0</v>
      </c>
      <c r="O172" s="11">
        <v>422.92</v>
      </c>
      <c r="Q172" s="11">
        <f t="shared" si="7"/>
        <v>422.92</v>
      </c>
      <c r="AU172" s="11">
        <v>845.84</v>
      </c>
      <c r="AW172" s="27">
        <f t="shared" si="8"/>
        <v>0.21748794098174587</v>
      </c>
      <c r="BA172" t="s">
        <v>47</v>
      </c>
      <c r="BB172">
        <v>845.84</v>
      </c>
    </row>
    <row r="173" spans="1:54" ht="15.75" customHeight="1" x14ac:dyDescent="0.3">
      <c r="A173" s="22" t="s">
        <v>32</v>
      </c>
      <c r="B173" s="6" t="s">
        <v>57</v>
      </c>
      <c r="C173" s="6" t="s">
        <v>13</v>
      </c>
      <c r="D173" s="6" t="s">
        <v>23</v>
      </c>
      <c r="E173" s="13">
        <v>1029.8</v>
      </c>
      <c r="F173" s="6">
        <v>3</v>
      </c>
      <c r="G173" s="6">
        <v>0</v>
      </c>
      <c r="H173" s="33">
        <f t="shared" si="6"/>
        <v>2</v>
      </c>
      <c r="I173" s="19">
        <v>45708</v>
      </c>
      <c r="J173" s="13">
        <v>257.45</v>
      </c>
      <c r="L173" t="s">
        <v>57</v>
      </c>
      <c r="M173">
        <v>1029.8</v>
      </c>
      <c r="N173" s="8">
        <v>0</v>
      </c>
      <c r="O173" s="11">
        <v>257.45</v>
      </c>
      <c r="Q173" s="11">
        <f t="shared" si="7"/>
        <v>772.34999999999991</v>
      </c>
      <c r="AU173" s="11">
        <v>1029.8</v>
      </c>
      <c r="AW173" s="27">
        <f t="shared" si="8"/>
        <v>0.15539910662264517</v>
      </c>
      <c r="BA173" t="s">
        <v>57</v>
      </c>
      <c r="BB173">
        <v>1029.8</v>
      </c>
    </row>
    <row r="174" spans="1:54" ht="15.75" customHeight="1" x14ac:dyDescent="0.3">
      <c r="A174" s="22" t="s">
        <v>34</v>
      </c>
      <c r="B174" s="6" t="s">
        <v>33</v>
      </c>
      <c r="C174" s="6" t="s">
        <v>26</v>
      </c>
      <c r="D174" s="6" t="s">
        <v>14</v>
      </c>
      <c r="E174" s="13">
        <v>1189.83</v>
      </c>
      <c r="F174" s="6">
        <v>2</v>
      </c>
      <c r="G174" s="6">
        <v>0.2</v>
      </c>
      <c r="H174" s="33">
        <f t="shared" si="6"/>
        <v>2</v>
      </c>
      <c r="I174" s="19">
        <v>45709</v>
      </c>
      <c r="J174" s="13">
        <v>380.75</v>
      </c>
      <c r="L174" t="s">
        <v>33</v>
      </c>
      <c r="M174">
        <v>1189.83</v>
      </c>
      <c r="N174" s="8">
        <v>0.2</v>
      </c>
      <c r="O174" s="11">
        <v>380.75</v>
      </c>
      <c r="Q174" s="11">
        <f t="shared" si="7"/>
        <v>571.11400000000003</v>
      </c>
      <c r="AU174" s="11">
        <v>1189.83</v>
      </c>
      <c r="AW174" s="27">
        <f t="shared" si="8"/>
        <v>-0.40808350772799473</v>
      </c>
      <c r="BA174" t="s">
        <v>33</v>
      </c>
      <c r="BB174">
        <v>1189.83</v>
      </c>
    </row>
    <row r="175" spans="1:54" ht="15.75" customHeight="1" x14ac:dyDescent="0.3">
      <c r="A175" s="22" t="s">
        <v>69</v>
      </c>
      <c r="B175" s="6" t="s">
        <v>45</v>
      </c>
      <c r="C175" s="6" t="s">
        <v>22</v>
      </c>
      <c r="D175" s="6" t="s">
        <v>14</v>
      </c>
      <c r="E175" s="13">
        <v>704.28</v>
      </c>
      <c r="F175" s="6">
        <v>15</v>
      </c>
      <c r="G175" s="6">
        <v>0.2</v>
      </c>
      <c r="H175" s="33">
        <f t="shared" si="6"/>
        <v>2</v>
      </c>
      <c r="I175" s="19">
        <v>45712</v>
      </c>
      <c r="J175" s="13">
        <v>225.37</v>
      </c>
      <c r="L175" t="s">
        <v>45</v>
      </c>
      <c r="M175">
        <v>704.28</v>
      </c>
      <c r="N175" s="8">
        <v>0.2</v>
      </c>
      <c r="O175" s="11">
        <v>225.37</v>
      </c>
      <c r="Q175" s="11">
        <f t="shared" si="7"/>
        <v>338.05399999999997</v>
      </c>
      <c r="AU175" s="11">
        <v>704.28</v>
      </c>
      <c r="AW175" s="27">
        <f t="shared" si="8"/>
        <v>1.2976940989379226</v>
      </c>
      <c r="BA175" t="s">
        <v>45</v>
      </c>
      <c r="BB175">
        <v>704.28</v>
      </c>
    </row>
    <row r="176" spans="1:54" ht="15.75" customHeight="1" x14ac:dyDescent="0.3">
      <c r="A176" s="22" t="s">
        <v>67</v>
      </c>
      <c r="B176" s="6" t="s">
        <v>49</v>
      </c>
      <c r="C176" s="6" t="s">
        <v>36</v>
      </c>
      <c r="D176" s="6" t="s">
        <v>41</v>
      </c>
      <c r="E176" s="13">
        <v>1618.22</v>
      </c>
      <c r="F176" s="6">
        <v>12</v>
      </c>
      <c r="G176" s="6">
        <v>0.2</v>
      </c>
      <c r="H176" s="33">
        <f t="shared" si="6"/>
        <v>2</v>
      </c>
      <c r="I176" s="19">
        <v>45712</v>
      </c>
      <c r="J176" s="13">
        <v>582.55999999999995</v>
      </c>
      <c r="L176" t="s">
        <v>49</v>
      </c>
      <c r="M176">
        <v>1618.22</v>
      </c>
      <c r="N176" s="8">
        <v>0.2</v>
      </c>
      <c r="O176" s="11">
        <v>582.55999999999995</v>
      </c>
      <c r="Q176" s="11">
        <f t="shared" si="7"/>
        <v>712.01600000000008</v>
      </c>
      <c r="AU176" s="11">
        <v>1618.22</v>
      </c>
      <c r="AW176" s="27">
        <f t="shared" si="8"/>
        <v>-0.37311984773392992</v>
      </c>
      <c r="BA176" t="s">
        <v>49</v>
      </c>
      <c r="BB176">
        <v>1618.22</v>
      </c>
    </row>
    <row r="177" spans="1:54" ht="15.75" customHeight="1" x14ac:dyDescent="0.3">
      <c r="A177" s="22" t="s">
        <v>75</v>
      </c>
      <c r="B177" s="6" t="s">
        <v>55</v>
      </c>
      <c r="C177" s="6" t="s">
        <v>36</v>
      </c>
      <c r="D177" s="6" t="s">
        <v>14</v>
      </c>
      <c r="E177" s="13">
        <v>1014.43</v>
      </c>
      <c r="F177" s="6">
        <v>2</v>
      </c>
      <c r="G177" s="6">
        <v>0.15</v>
      </c>
      <c r="H177" s="33">
        <f t="shared" si="6"/>
        <v>2</v>
      </c>
      <c r="I177" s="19">
        <v>45713</v>
      </c>
      <c r="J177" s="13">
        <v>344.91</v>
      </c>
      <c r="L177" t="s">
        <v>55</v>
      </c>
      <c r="M177">
        <v>1014.43</v>
      </c>
      <c r="N177" s="8">
        <v>0.15</v>
      </c>
      <c r="O177" s="11">
        <v>344.91</v>
      </c>
      <c r="Q177" s="11">
        <f t="shared" si="7"/>
        <v>517.35549999999989</v>
      </c>
      <c r="AU177" s="11">
        <v>1014.43</v>
      </c>
      <c r="AW177" s="27">
        <f t="shared" si="8"/>
        <v>-0.1847934307936476</v>
      </c>
      <c r="BA177" t="s">
        <v>55</v>
      </c>
      <c r="BB177">
        <v>1014.43</v>
      </c>
    </row>
    <row r="178" spans="1:54" ht="15.75" customHeight="1" x14ac:dyDescent="0.3">
      <c r="A178" s="22" t="s">
        <v>77</v>
      </c>
      <c r="B178" s="6" t="s">
        <v>33</v>
      </c>
      <c r="C178" s="6" t="s">
        <v>36</v>
      </c>
      <c r="D178" s="6" t="s">
        <v>17</v>
      </c>
      <c r="E178" s="13">
        <v>826.97</v>
      </c>
      <c r="F178" s="6">
        <v>18</v>
      </c>
      <c r="G178" s="6">
        <v>0.2</v>
      </c>
      <c r="H178" s="33">
        <f t="shared" si="6"/>
        <v>2</v>
      </c>
      <c r="I178" s="19">
        <v>45715</v>
      </c>
      <c r="J178" s="13">
        <v>330.79</v>
      </c>
      <c r="L178" t="s">
        <v>33</v>
      </c>
      <c r="M178">
        <v>826.97</v>
      </c>
      <c r="N178" s="8">
        <v>0.2</v>
      </c>
      <c r="O178" s="11">
        <v>330.79</v>
      </c>
      <c r="Q178" s="11">
        <f t="shared" si="7"/>
        <v>330.786</v>
      </c>
      <c r="AU178" s="11">
        <v>826.97</v>
      </c>
      <c r="AW178" s="27">
        <f t="shared" si="8"/>
        <v>0.23611497394101355</v>
      </c>
      <c r="BA178" t="s">
        <v>33</v>
      </c>
      <c r="BB178">
        <v>826.97</v>
      </c>
    </row>
    <row r="179" spans="1:54" ht="15.75" customHeight="1" x14ac:dyDescent="0.3">
      <c r="A179" s="22" t="s">
        <v>18</v>
      </c>
      <c r="B179" s="6" t="s">
        <v>33</v>
      </c>
      <c r="C179" s="6" t="s">
        <v>36</v>
      </c>
      <c r="D179" s="6" t="s">
        <v>17</v>
      </c>
      <c r="E179" s="13">
        <v>1022.23</v>
      </c>
      <c r="F179" s="6">
        <v>8</v>
      </c>
      <c r="G179" s="6">
        <v>0.1</v>
      </c>
      <c r="H179" s="33">
        <f t="shared" si="6"/>
        <v>3</v>
      </c>
      <c r="I179" s="19">
        <v>45717</v>
      </c>
      <c r="J179" s="13">
        <v>460</v>
      </c>
      <c r="L179" t="s">
        <v>33</v>
      </c>
      <c r="M179">
        <v>1022.23</v>
      </c>
      <c r="N179" s="8">
        <v>0.1</v>
      </c>
      <c r="O179" s="11">
        <v>460</v>
      </c>
      <c r="Q179" s="11">
        <f t="shared" si="7"/>
        <v>460.00700000000006</v>
      </c>
      <c r="AU179" s="11">
        <v>1022.23</v>
      </c>
      <c r="AW179" s="27">
        <f t="shared" si="8"/>
        <v>7.5775510403725224E-2</v>
      </c>
      <c r="BA179" t="s">
        <v>33</v>
      </c>
      <c r="BB179">
        <v>1022.23</v>
      </c>
    </row>
    <row r="180" spans="1:54" ht="15.75" customHeight="1" x14ac:dyDescent="0.3">
      <c r="A180" s="22" t="s">
        <v>74</v>
      </c>
      <c r="B180" s="6" t="s">
        <v>31</v>
      </c>
      <c r="C180" s="6" t="s">
        <v>20</v>
      </c>
      <c r="D180" s="6" t="s">
        <v>14</v>
      </c>
      <c r="E180" s="13">
        <v>1099.69</v>
      </c>
      <c r="F180" s="6">
        <v>6</v>
      </c>
      <c r="G180" s="6">
        <v>0</v>
      </c>
      <c r="H180" s="33">
        <f t="shared" si="6"/>
        <v>3</v>
      </c>
      <c r="I180" s="19">
        <v>45718</v>
      </c>
      <c r="J180" s="13">
        <v>439.88</v>
      </c>
      <c r="L180" t="s">
        <v>31</v>
      </c>
      <c r="M180">
        <v>1099.69</v>
      </c>
      <c r="N180" s="8">
        <v>0</v>
      </c>
      <c r="O180" s="11">
        <v>439.88</v>
      </c>
      <c r="Q180" s="11">
        <f t="shared" si="7"/>
        <v>659.81000000000006</v>
      </c>
      <c r="AU180" s="11">
        <v>1099.69</v>
      </c>
      <c r="AW180" s="27">
        <f t="shared" si="8"/>
        <v>-0.35389064190817415</v>
      </c>
      <c r="BA180" t="s">
        <v>31</v>
      </c>
      <c r="BB180">
        <v>1099.69</v>
      </c>
    </row>
    <row r="181" spans="1:54" ht="15.75" customHeight="1" x14ac:dyDescent="0.3">
      <c r="A181" s="22" t="s">
        <v>54</v>
      </c>
      <c r="B181" s="6" t="s">
        <v>66</v>
      </c>
      <c r="C181" s="6" t="s">
        <v>26</v>
      </c>
      <c r="D181" s="6" t="s">
        <v>14</v>
      </c>
      <c r="E181" s="13">
        <v>710.52</v>
      </c>
      <c r="F181" s="6">
        <v>8</v>
      </c>
      <c r="G181" s="6">
        <v>0.1</v>
      </c>
      <c r="H181" s="33">
        <f t="shared" si="6"/>
        <v>3</v>
      </c>
      <c r="I181" s="19">
        <v>45721</v>
      </c>
      <c r="J181" s="13">
        <v>255.79</v>
      </c>
      <c r="L181" t="s">
        <v>66</v>
      </c>
      <c r="M181">
        <v>710.52</v>
      </c>
      <c r="N181" s="8">
        <v>0.1</v>
      </c>
      <c r="O181" s="11">
        <v>255.79</v>
      </c>
      <c r="Q181" s="11">
        <f t="shared" si="7"/>
        <v>383.678</v>
      </c>
      <c r="AU181" s="11">
        <v>710.52</v>
      </c>
      <c r="AW181" s="27">
        <f t="shared" si="8"/>
        <v>-0.29744412542926307</v>
      </c>
      <c r="BA181" t="s">
        <v>66</v>
      </c>
      <c r="BB181">
        <v>710.52</v>
      </c>
    </row>
    <row r="182" spans="1:54" ht="15.75" customHeight="1" x14ac:dyDescent="0.3">
      <c r="A182" s="22" t="s">
        <v>54</v>
      </c>
      <c r="B182" s="6" t="s">
        <v>61</v>
      </c>
      <c r="C182" s="6" t="s">
        <v>26</v>
      </c>
      <c r="D182" s="6" t="s">
        <v>14</v>
      </c>
      <c r="E182" s="13">
        <v>499.18</v>
      </c>
      <c r="F182" s="6">
        <v>15</v>
      </c>
      <c r="G182" s="6">
        <v>0.2</v>
      </c>
      <c r="H182" s="33">
        <f t="shared" si="6"/>
        <v>3</v>
      </c>
      <c r="I182" s="19">
        <v>45724</v>
      </c>
      <c r="J182" s="13">
        <v>159.74</v>
      </c>
      <c r="L182" t="s">
        <v>61</v>
      </c>
      <c r="M182">
        <v>499.18</v>
      </c>
      <c r="N182" s="8">
        <v>0.2</v>
      </c>
      <c r="O182" s="11">
        <v>159.74</v>
      </c>
      <c r="Q182" s="11">
        <f t="shared" si="7"/>
        <v>239.60400000000004</v>
      </c>
      <c r="AU182" s="11">
        <v>499.18</v>
      </c>
      <c r="AW182" s="27">
        <f t="shared" si="8"/>
        <v>1.1318762770944348</v>
      </c>
      <c r="BA182" t="s">
        <v>61</v>
      </c>
      <c r="BB182">
        <v>499.18</v>
      </c>
    </row>
    <row r="183" spans="1:54" ht="15.75" customHeight="1" x14ac:dyDescent="0.3">
      <c r="A183" s="22" t="s">
        <v>39</v>
      </c>
      <c r="B183" s="6" t="s">
        <v>40</v>
      </c>
      <c r="C183" s="6" t="s">
        <v>22</v>
      </c>
      <c r="D183" s="6" t="s">
        <v>14</v>
      </c>
      <c r="E183" s="13">
        <v>1064.19</v>
      </c>
      <c r="F183" s="6">
        <v>18</v>
      </c>
      <c r="G183" s="6">
        <v>0.05</v>
      </c>
      <c r="H183" s="33">
        <f t="shared" si="6"/>
        <v>3</v>
      </c>
      <c r="I183" s="19">
        <v>45725</v>
      </c>
      <c r="J183" s="13">
        <v>404.39</v>
      </c>
      <c r="L183" t="s">
        <v>40</v>
      </c>
      <c r="M183">
        <v>1064.19</v>
      </c>
      <c r="N183" s="8">
        <v>0.05</v>
      </c>
      <c r="O183" s="11">
        <v>404.39</v>
      </c>
      <c r="Q183" s="11">
        <f t="shared" si="7"/>
        <v>606.59050000000002</v>
      </c>
      <c r="AU183" s="11">
        <v>1064.19</v>
      </c>
      <c r="AW183" s="27">
        <f t="shared" si="8"/>
        <v>-0.58770520301825802</v>
      </c>
      <c r="BA183" t="s">
        <v>40</v>
      </c>
      <c r="BB183">
        <v>1064.19</v>
      </c>
    </row>
    <row r="184" spans="1:54" ht="15.75" customHeight="1" x14ac:dyDescent="0.3">
      <c r="A184" s="22" t="s">
        <v>69</v>
      </c>
      <c r="B184" s="6" t="s">
        <v>40</v>
      </c>
      <c r="C184" s="6" t="s">
        <v>20</v>
      </c>
      <c r="D184" s="6" t="s">
        <v>41</v>
      </c>
      <c r="E184" s="13">
        <v>438.76</v>
      </c>
      <c r="F184" s="6">
        <v>18</v>
      </c>
      <c r="G184" s="6">
        <v>0.05</v>
      </c>
      <c r="H184" s="33">
        <f t="shared" si="6"/>
        <v>3</v>
      </c>
      <c r="I184" s="19">
        <v>45726</v>
      </c>
      <c r="J184" s="13">
        <v>187.57</v>
      </c>
      <c r="L184" t="s">
        <v>40</v>
      </c>
      <c r="M184">
        <v>438.76</v>
      </c>
      <c r="N184" s="8">
        <v>0.05</v>
      </c>
      <c r="O184" s="11">
        <v>187.57</v>
      </c>
      <c r="Q184" s="11">
        <f t="shared" si="7"/>
        <v>229.25199999999995</v>
      </c>
      <c r="AU184" s="11">
        <v>438.76</v>
      </c>
      <c r="AW184" s="27">
        <f t="shared" si="8"/>
        <v>0.97141945482724046</v>
      </c>
      <c r="BA184" t="s">
        <v>40</v>
      </c>
      <c r="BB184">
        <v>438.76</v>
      </c>
    </row>
    <row r="185" spans="1:54" ht="15.75" customHeight="1" x14ac:dyDescent="0.3">
      <c r="A185" s="22" t="s">
        <v>43</v>
      </c>
      <c r="B185" s="6" t="s">
        <v>57</v>
      </c>
      <c r="C185" s="6" t="s">
        <v>13</v>
      </c>
      <c r="D185" s="6" t="s">
        <v>17</v>
      </c>
      <c r="E185" s="13">
        <v>864.98</v>
      </c>
      <c r="F185" s="6">
        <v>2</v>
      </c>
      <c r="G185" s="6">
        <v>0.05</v>
      </c>
      <c r="H185" s="33">
        <f t="shared" si="6"/>
        <v>3</v>
      </c>
      <c r="I185" s="19">
        <v>45727</v>
      </c>
      <c r="J185" s="13">
        <v>410.87</v>
      </c>
      <c r="L185" t="s">
        <v>57</v>
      </c>
      <c r="M185">
        <v>864.98</v>
      </c>
      <c r="N185" s="8">
        <v>0.05</v>
      </c>
      <c r="O185" s="11">
        <v>410.87</v>
      </c>
      <c r="Q185" s="11">
        <f t="shared" si="7"/>
        <v>410.86099999999999</v>
      </c>
      <c r="AU185" s="11">
        <v>864.98</v>
      </c>
      <c r="AW185" s="27">
        <f t="shared" si="8"/>
        <v>0.13867372656015159</v>
      </c>
      <c r="BA185" t="s">
        <v>57</v>
      </c>
      <c r="BB185">
        <v>864.98</v>
      </c>
    </row>
    <row r="186" spans="1:54" ht="15.75" customHeight="1" x14ac:dyDescent="0.3">
      <c r="A186" s="22" t="s">
        <v>59</v>
      </c>
      <c r="B186" s="6" t="s">
        <v>57</v>
      </c>
      <c r="C186" s="6" t="s">
        <v>13</v>
      </c>
      <c r="D186" s="6" t="s">
        <v>29</v>
      </c>
      <c r="E186" s="13">
        <v>984.93</v>
      </c>
      <c r="F186" s="6">
        <v>14</v>
      </c>
      <c r="G186" s="6">
        <v>0.2</v>
      </c>
      <c r="H186" s="33">
        <f t="shared" si="6"/>
        <v>3</v>
      </c>
      <c r="I186" s="19">
        <v>45733</v>
      </c>
      <c r="J186" s="13">
        <v>275.77999999999997</v>
      </c>
      <c r="L186" t="s">
        <v>57</v>
      </c>
      <c r="M186">
        <v>984.93</v>
      </c>
      <c r="N186" s="8">
        <v>0.2</v>
      </c>
      <c r="O186" s="11">
        <v>275.77999999999997</v>
      </c>
      <c r="Q186" s="11">
        <f t="shared" si="7"/>
        <v>512.16399999999999</v>
      </c>
      <c r="AU186" s="11">
        <v>984.93</v>
      </c>
      <c r="AW186" s="27">
        <f t="shared" si="8"/>
        <v>0.51634126283086113</v>
      </c>
      <c r="BA186" t="s">
        <v>57</v>
      </c>
      <c r="BB186">
        <v>984.93</v>
      </c>
    </row>
    <row r="187" spans="1:54" ht="15.75" customHeight="1" x14ac:dyDescent="0.3">
      <c r="A187" s="22" t="s">
        <v>27</v>
      </c>
      <c r="B187" s="6" t="s">
        <v>57</v>
      </c>
      <c r="C187" s="6" t="s">
        <v>13</v>
      </c>
      <c r="D187" s="6" t="s">
        <v>17</v>
      </c>
      <c r="E187" s="13">
        <v>1493.49</v>
      </c>
      <c r="F187" s="6">
        <v>18</v>
      </c>
      <c r="G187" s="6">
        <v>0</v>
      </c>
      <c r="H187" s="33">
        <f t="shared" si="6"/>
        <v>3</v>
      </c>
      <c r="I187" s="19">
        <v>45734</v>
      </c>
      <c r="J187" s="13">
        <v>746.74</v>
      </c>
      <c r="L187" t="s">
        <v>57</v>
      </c>
      <c r="M187">
        <v>1493.49</v>
      </c>
      <c r="N187" s="8">
        <v>0</v>
      </c>
      <c r="O187" s="11">
        <v>746.74</v>
      </c>
      <c r="Q187" s="11">
        <f t="shared" si="7"/>
        <v>746.75</v>
      </c>
      <c r="AU187" s="11">
        <v>1493.49</v>
      </c>
      <c r="AW187" s="27">
        <f t="shared" si="8"/>
        <v>-0.53837655424542519</v>
      </c>
      <c r="BA187" t="s">
        <v>57</v>
      </c>
      <c r="BB187">
        <v>1493.49</v>
      </c>
    </row>
    <row r="188" spans="1:54" ht="15.75" customHeight="1" x14ac:dyDescent="0.3">
      <c r="A188" s="22" t="s">
        <v>34</v>
      </c>
      <c r="B188" s="6" t="s">
        <v>55</v>
      </c>
      <c r="C188" s="6" t="s">
        <v>22</v>
      </c>
      <c r="D188" s="6" t="s">
        <v>17</v>
      </c>
      <c r="E188" s="13">
        <v>689.43</v>
      </c>
      <c r="F188" s="6">
        <v>9</v>
      </c>
      <c r="G188" s="6">
        <v>0.1</v>
      </c>
      <c r="H188" s="33">
        <f t="shared" si="6"/>
        <v>3</v>
      </c>
      <c r="I188" s="19">
        <v>45736</v>
      </c>
      <c r="J188" s="13">
        <v>310.24</v>
      </c>
      <c r="L188" t="s">
        <v>55</v>
      </c>
      <c r="M188">
        <v>689.43</v>
      </c>
      <c r="N188" s="8">
        <v>0.1</v>
      </c>
      <c r="O188" s="11">
        <v>310.24</v>
      </c>
      <c r="Q188" s="11">
        <f t="shared" si="7"/>
        <v>310.24699999999996</v>
      </c>
      <c r="AU188" s="11">
        <v>689.43</v>
      </c>
      <c r="AW188" s="27">
        <f t="shared" si="8"/>
        <v>-1.0428905037494657E-2</v>
      </c>
      <c r="BA188" t="s">
        <v>55</v>
      </c>
      <c r="BB188">
        <v>689.43</v>
      </c>
    </row>
    <row r="189" spans="1:54" ht="15.75" customHeight="1" x14ac:dyDescent="0.3">
      <c r="A189" s="22" t="s">
        <v>42</v>
      </c>
      <c r="B189" s="6" t="s">
        <v>61</v>
      </c>
      <c r="C189" s="6" t="s">
        <v>22</v>
      </c>
      <c r="D189" s="6" t="s">
        <v>17</v>
      </c>
      <c r="E189" s="13">
        <v>682.24</v>
      </c>
      <c r="F189" s="6">
        <v>1</v>
      </c>
      <c r="G189" s="6">
        <v>0</v>
      </c>
      <c r="H189" s="33">
        <f t="shared" si="6"/>
        <v>3</v>
      </c>
      <c r="I189" s="19">
        <v>45738</v>
      </c>
      <c r="J189" s="13">
        <v>341.12</v>
      </c>
      <c r="L189" t="s">
        <v>61</v>
      </c>
      <c r="M189">
        <v>682.24</v>
      </c>
      <c r="N189" s="8">
        <v>0</v>
      </c>
      <c r="O189" s="11">
        <v>341.12</v>
      </c>
      <c r="Q189" s="11">
        <f t="shared" si="7"/>
        <v>341.12</v>
      </c>
      <c r="AU189" s="11">
        <v>682.24</v>
      </c>
      <c r="AW189" s="27">
        <f t="shared" si="8"/>
        <v>-0.32789047842401498</v>
      </c>
      <c r="BA189" t="s">
        <v>61</v>
      </c>
      <c r="BB189">
        <v>682.24</v>
      </c>
    </row>
    <row r="190" spans="1:54" ht="15.75" customHeight="1" x14ac:dyDescent="0.3">
      <c r="A190" s="22" t="s">
        <v>43</v>
      </c>
      <c r="B190" s="6" t="s">
        <v>28</v>
      </c>
      <c r="C190" s="6" t="s">
        <v>26</v>
      </c>
      <c r="D190" s="6" t="s">
        <v>23</v>
      </c>
      <c r="E190" s="13">
        <v>458.54</v>
      </c>
      <c r="F190" s="6">
        <v>15</v>
      </c>
      <c r="G190" s="6">
        <v>0.2</v>
      </c>
      <c r="H190" s="33">
        <f t="shared" si="6"/>
        <v>3</v>
      </c>
      <c r="I190" s="19">
        <v>45741</v>
      </c>
      <c r="J190" s="13">
        <v>91.71</v>
      </c>
      <c r="L190" t="s">
        <v>28</v>
      </c>
      <c r="M190">
        <v>458.54</v>
      </c>
      <c r="N190" s="8">
        <v>0.2</v>
      </c>
      <c r="O190" s="11">
        <v>91.71</v>
      </c>
      <c r="Q190" s="11">
        <f t="shared" si="7"/>
        <v>275.12200000000007</v>
      </c>
      <c r="AU190" s="11">
        <v>458.54</v>
      </c>
      <c r="AW190" s="27">
        <f t="shared" si="8"/>
        <v>1.5826536398133206</v>
      </c>
      <c r="BA190" t="s">
        <v>28</v>
      </c>
      <c r="BB190">
        <v>458.54</v>
      </c>
    </row>
    <row r="191" spans="1:54" ht="15.75" customHeight="1" x14ac:dyDescent="0.3">
      <c r="A191" s="22" t="s">
        <v>34</v>
      </c>
      <c r="B191" s="6" t="s">
        <v>28</v>
      </c>
      <c r="C191" s="6" t="s">
        <v>22</v>
      </c>
      <c r="D191" s="6" t="s">
        <v>29</v>
      </c>
      <c r="E191" s="13">
        <v>1184.25</v>
      </c>
      <c r="F191" s="6">
        <v>11</v>
      </c>
      <c r="G191" s="6">
        <v>0.2</v>
      </c>
      <c r="H191" s="33">
        <f t="shared" si="6"/>
        <v>3</v>
      </c>
      <c r="I191" s="19">
        <v>45742</v>
      </c>
      <c r="J191" s="13">
        <v>331.59</v>
      </c>
      <c r="L191" t="s">
        <v>28</v>
      </c>
      <c r="M191">
        <v>1184.25</v>
      </c>
      <c r="N191" s="8">
        <v>0.2</v>
      </c>
      <c r="O191" s="11">
        <v>331.59</v>
      </c>
      <c r="Q191" s="11">
        <f t="shared" si="7"/>
        <v>615.81000000000017</v>
      </c>
      <c r="AU191" s="11">
        <v>1184.25</v>
      </c>
      <c r="AW191" s="27">
        <f t="shared" si="8"/>
        <v>-0.35643656322567024</v>
      </c>
      <c r="BA191" t="s">
        <v>28</v>
      </c>
      <c r="BB191">
        <v>1184.25</v>
      </c>
    </row>
    <row r="192" spans="1:54" ht="15.75" customHeight="1" x14ac:dyDescent="0.3">
      <c r="A192" s="22" t="s">
        <v>27</v>
      </c>
      <c r="B192" s="6" t="s">
        <v>12</v>
      </c>
      <c r="C192" s="6" t="s">
        <v>22</v>
      </c>
      <c r="D192" s="6" t="s">
        <v>17</v>
      </c>
      <c r="E192" s="13">
        <v>762.14</v>
      </c>
      <c r="F192" s="6">
        <v>9</v>
      </c>
      <c r="G192" s="6">
        <v>0</v>
      </c>
      <c r="H192" s="33">
        <f t="shared" si="6"/>
        <v>3</v>
      </c>
      <c r="I192" s="19">
        <v>45743</v>
      </c>
      <c r="J192" s="13">
        <v>381.07</v>
      </c>
      <c r="L192" t="s">
        <v>12</v>
      </c>
      <c r="M192">
        <v>762.14</v>
      </c>
      <c r="N192" s="8">
        <v>0</v>
      </c>
      <c r="O192" s="11">
        <v>381.07</v>
      </c>
      <c r="Q192" s="11">
        <f t="shared" si="7"/>
        <v>381.07</v>
      </c>
      <c r="AU192" s="11">
        <v>762.14</v>
      </c>
      <c r="AW192" s="27">
        <f t="shared" si="8"/>
        <v>-1.4997244600729459E-2</v>
      </c>
      <c r="BA192" t="s">
        <v>12</v>
      </c>
      <c r="BB192">
        <v>762.14</v>
      </c>
    </row>
    <row r="193" spans="1:54" ht="15.75" customHeight="1" x14ac:dyDescent="0.3">
      <c r="A193" s="22" t="s">
        <v>24</v>
      </c>
      <c r="B193" s="6" t="s">
        <v>55</v>
      </c>
      <c r="C193" s="6" t="s">
        <v>26</v>
      </c>
      <c r="D193" s="6" t="s">
        <v>14</v>
      </c>
      <c r="E193" s="13">
        <v>750.71</v>
      </c>
      <c r="F193" s="6">
        <v>10</v>
      </c>
      <c r="G193" s="6">
        <v>0.15</v>
      </c>
      <c r="H193" s="33">
        <f t="shared" si="6"/>
        <v>3</v>
      </c>
      <c r="I193" s="19">
        <v>45743</v>
      </c>
      <c r="J193" s="13">
        <v>255.24</v>
      </c>
      <c r="L193" t="s">
        <v>55</v>
      </c>
      <c r="M193">
        <v>750.71</v>
      </c>
      <c r="N193" s="8">
        <v>0.15</v>
      </c>
      <c r="O193" s="11">
        <v>255.24</v>
      </c>
      <c r="Q193" s="11">
        <f t="shared" si="7"/>
        <v>382.86350000000004</v>
      </c>
      <c r="AU193" s="11">
        <v>750.71</v>
      </c>
      <c r="AW193" s="27">
        <f t="shared" si="8"/>
        <v>0.94074942387872806</v>
      </c>
      <c r="BA193" t="s">
        <v>55</v>
      </c>
      <c r="BB193">
        <v>750.71</v>
      </c>
    </row>
    <row r="194" spans="1:54" ht="15.75" customHeight="1" x14ac:dyDescent="0.3">
      <c r="A194" s="22" t="s">
        <v>77</v>
      </c>
      <c r="B194" s="6" t="s">
        <v>73</v>
      </c>
      <c r="C194" s="6" t="s">
        <v>36</v>
      </c>
      <c r="D194" s="6" t="s">
        <v>17</v>
      </c>
      <c r="E194" s="13">
        <v>1456.94</v>
      </c>
      <c r="F194" s="6">
        <v>14</v>
      </c>
      <c r="G194" s="6">
        <v>0.05</v>
      </c>
      <c r="H194" s="33">
        <f t="shared" si="6"/>
        <v>3</v>
      </c>
      <c r="I194" s="19">
        <v>45745</v>
      </c>
      <c r="J194" s="13">
        <v>692.05</v>
      </c>
      <c r="L194" t="s">
        <v>73</v>
      </c>
      <c r="M194">
        <v>1456.94</v>
      </c>
      <c r="N194" s="8">
        <v>0.05</v>
      </c>
      <c r="O194" s="11">
        <v>692.05</v>
      </c>
      <c r="Q194" s="11">
        <f t="shared" si="7"/>
        <v>692.04300000000012</v>
      </c>
      <c r="AU194" s="11">
        <v>1456.94</v>
      </c>
      <c r="AW194" s="27">
        <f t="shared" si="8"/>
        <v>-0.24953670020728372</v>
      </c>
      <c r="BA194" t="s">
        <v>73</v>
      </c>
      <c r="BB194">
        <v>1456.94</v>
      </c>
    </row>
    <row r="195" spans="1:54" ht="15.75" customHeight="1" x14ac:dyDescent="0.3">
      <c r="A195" s="22" t="s">
        <v>46</v>
      </c>
      <c r="B195" s="6" t="s">
        <v>63</v>
      </c>
      <c r="C195" s="6" t="s">
        <v>20</v>
      </c>
      <c r="D195" s="6" t="s">
        <v>29</v>
      </c>
      <c r="E195" s="13">
        <v>1093.3800000000001</v>
      </c>
      <c r="F195" s="6">
        <v>17</v>
      </c>
      <c r="G195" s="6">
        <v>0.1</v>
      </c>
      <c r="H195" s="33">
        <f t="shared" ref="H195:H201" si="9">MONTH(I195)</f>
        <v>3</v>
      </c>
      <c r="I195" s="19">
        <v>45745</v>
      </c>
      <c r="J195" s="13">
        <v>344.41</v>
      </c>
      <c r="L195" t="s">
        <v>63</v>
      </c>
      <c r="M195">
        <v>1093.3800000000001</v>
      </c>
      <c r="N195" s="8">
        <v>0.1</v>
      </c>
      <c r="O195" s="11">
        <v>344.41</v>
      </c>
      <c r="Q195" s="11">
        <f t="shared" ref="Q195:Q201" si="10">E195*(1-N195)-O195</f>
        <v>639.63200000000006</v>
      </c>
      <c r="AU195" s="11">
        <v>1093.3800000000001</v>
      </c>
      <c r="AW195" s="27">
        <f t="shared" ref="AW195:AW201" si="11">(AU196-AU195)/AU195</f>
        <v>-0.14552122775247409</v>
      </c>
      <c r="BA195" t="s">
        <v>63</v>
      </c>
      <c r="BB195">
        <v>1093.3800000000001</v>
      </c>
    </row>
    <row r="196" spans="1:54" ht="15.75" customHeight="1" x14ac:dyDescent="0.3">
      <c r="A196" s="22" t="s">
        <v>39</v>
      </c>
      <c r="B196" s="6" t="s">
        <v>45</v>
      </c>
      <c r="C196" s="6" t="s">
        <v>13</v>
      </c>
      <c r="D196" s="6" t="s">
        <v>17</v>
      </c>
      <c r="E196" s="13">
        <v>934.27</v>
      </c>
      <c r="F196" s="6">
        <v>8</v>
      </c>
      <c r="G196" s="6">
        <v>0.15</v>
      </c>
      <c r="H196" s="33">
        <f t="shared" si="9"/>
        <v>3</v>
      </c>
      <c r="I196" s="19">
        <v>45746</v>
      </c>
      <c r="J196" s="13">
        <v>397.06</v>
      </c>
      <c r="L196" t="s">
        <v>45</v>
      </c>
      <c r="M196">
        <v>934.27</v>
      </c>
      <c r="N196" s="8">
        <v>0.15</v>
      </c>
      <c r="O196" s="11">
        <v>397.06</v>
      </c>
      <c r="Q196" s="11">
        <f t="shared" si="10"/>
        <v>397.06950000000001</v>
      </c>
      <c r="AU196" s="11">
        <v>934.27</v>
      </c>
      <c r="AW196" s="27">
        <f t="shared" si="11"/>
        <v>0.56844381174606906</v>
      </c>
      <c r="BA196" t="s">
        <v>45</v>
      </c>
      <c r="BB196">
        <v>934.27</v>
      </c>
    </row>
    <row r="197" spans="1:54" ht="15.75" customHeight="1" x14ac:dyDescent="0.3">
      <c r="A197" s="22" t="s">
        <v>72</v>
      </c>
      <c r="B197" s="6" t="s">
        <v>38</v>
      </c>
      <c r="C197" s="6" t="s">
        <v>36</v>
      </c>
      <c r="D197" s="6" t="s">
        <v>17</v>
      </c>
      <c r="E197" s="13">
        <v>1465.35</v>
      </c>
      <c r="F197" s="6">
        <v>8</v>
      </c>
      <c r="G197" s="6">
        <v>0.2</v>
      </c>
      <c r="H197" s="33">
        <f t="shared" si="9"/>
        <v>3</v>
      </c>
      <c r="I197" s="19">
        <v>45746</v>
      </c>
      <c r="J197" s="13">
        <v>586.14</v>
      </c>
      <c r="L197" t="s">
        <v>38</v>
      </c>
      <c r="M197">
        <v>1465.35</v>
      </c>
      <c r="N197" s="8">
        <v>0.2</v>
      </c>
      <c r="O197" s="11">
        <v>586.14</v>
      </c>
      <c r="Q197" s="11">
        <f t="shared" si="10"/>
        <v>586.14</v>
      </c>
      <c r="AU197" s="11">
        <v>1465.35</v>
      </c>
      <c r="AW197" s="27">
        <f t="shared" si="11"/>
        <v>-0.49445524959907189</v>
      </c>
      <c r="BA197" t="s">
        <v>38</v>
      </c>
      <c r="BB197">
        <v>1465.35</v>
      </c>
    </row>
    <row r="198" spans="1:54" ht="15.75" customHeight="1" x14ac:dyDescent="0.3">
      <c r="A198" s="22" t="s">
        <v>54</v>
      </c>
      <c r="B198" s="6" t="s">
        <v>16</v>
      </c>
      <c r="C198" s="6" t="s">
        <v>22</v>
      </c>
      <c r="D198" s="6" t="s">
        <v>41</v>
      </c>
      <c r="E198" s="13">
        <v>740.8</v>
      </c>
      <c r="F198" s="6">
        <v>3</v>
      </c>
      <c r="G198" s="6">
        <v>0</v>
      </c>
      <c r="H198" s="33">
        <f t="shared" si="9"/>
        <v>4</v>
      </c>
      <c r="I198" s="19">
        <v>45749</v>
      </c>
      <c r="J198" s="13">
        <v>333.36</v>
      </c>
      <c r="L198" t="s">
        <v>16</v>
      </c>
      <c r="M198">
        <v>740.8</v>
      </c>
      <c r="N198" s="8">
        <v>0</v>
      </c>
      <c r="O198" s="11">
        <v>333.36</v>
      </c>
      <c r="Q198" s="11">
        <f t="shared" si="10"/>
        <v>407.43999999999994</v>
      </c>
      <c r="AU198" s="11">
        <v>740.8</v>
      </c>
      <c r="AW198" s="27">
        <f t="shared" si="11"/>
        <v>-0.26371490280777526</v>
      </c>
      <c r="BA198" t="s">
        <v>16</v>
      </c>
      <c r="BB198">
        <v>740.8</v>
      </c>
    </row>
    <row r="199" spans="1:54" ht="15.75" customHeight="1" x14ac:dyDescent="0.3">
      <c r="A199" s="22" t="s">
        <v>60</v>
      </c>
      <c r="B199" s="6" t="s">
        <v>45</v>
      </c>
      <c r="C199" s="6" t="s">
        <v>13</v>
      </c>
      <c r="D199" s="6" t="s">
        <v>41</v>
      </c>
      <c r="E199" s="13">
        <v>545.44000000000005</v>
      </c>
      <c r="F199" s="6">
        <v>17</v>
      </c>
      <c r="G199" s="6">
        <v>0</v>
      </c>
      <c r="H199" s="33">
        <f t="shared" si="9"/>
        <v>4</v>
      </c>
      <c r="I199" s="19">
        <v>45752</v>
      </c>
      <c r="J199" s="13">
        <v>245.45</v>
      </c>
      <c r="L199" t="s">
        <v>45</v>
      </c>
      <c r="M199">
        <v>545.44000000000005</v>
      </c>
      <c r="N199" s="8">
        <v>0</v>
      </c>
      <c r="O199" s="11">
        <v>245.45</v>
      </c>
      <c r="Q199" s="11">
        <f t="shared" si="10"/>
        <v>299.99000000000007</v>
      </c>
      <c r="AU199" s="11">
        <v>545.44000000000005</v>
      </c>
      <c r="AW199" s="27">
        <f t="shared" si="11"/>
        <v>0.82900044001173345</v>
      </c>
      <c r="BA199" t="s">
        <v>45</v>
      </c>
      <c r="BB199">
        <v>545.44000000000005</v>
      </c>
    </row>
    <row r="200" spans="1:54" ht="15.75" customHeight="1" x14ac:dyDescent="0.3">
      <c r="A200" s="22" t="s">
        <v>37</v>
      </c>
      <c r="B200" s="6" t="s">
        <v>38</v>
      </c>
      <c r="C200" s="6" t="s">
        <v>20</v>
      </c>
      <c r="D200" s="6" t="s">
        <v>14</v>
      </c>
      <c r="E200" s="13">
        <v>997.61</v>
      </c>
      <c r="F200" s="6">
        <v>8</v>
      </c>
      <c r="G200" s="6">
        <v>0.05</v>
      </c>
      <c r="H200" s="33">
        <f t="shared" si="9"/>
        <v>4</v>
      </c>
      <c r="I200" s="19">
        <v>45752</v>
      </c>
      <c r="J200" s="13">
        <v>379.09</v>
      </c>
      <c r="L200" t="s">
        <v>38</v>
      </c>
      <c r="M200">
        <v>997.61</v>
      </c>
      <c r="N200" s="8">
        <v>0.05</v>
      </c>
      <c r="O200" s="11">
        <v>379.09</v>
      </c>
      <c r="Q200" s="11">
        <f t="shared" si="10"/>
        <v>568.6395</v>
      </c>
      <c r="AU200" s="11">
        <v>997.61</v>
      </c>
      <c r="AW200" s="27">
        <f t="shared" si="11"/>
        <v>-6.9455999839616644E-2</v>
      </c>
      <c r="BA200" t="s">
        <v>38</v>
      </c>
      <c r="BB200">
        <v>997.61</v>
      </c>
    </row>
    <row r="201" spans="1:54" ht="15.75" customHeight="1" x14ac:dyDescent="0.3">
      <c r="A201" s="22" t="s">
        <v>62</v>
      </c>
      <c r="B201" s="6" t="s">
        <v>38</v>
      </c>
      <c r="C201" s="6" t="s">
        <v>22</v>
      </c>
      <c r="D201" s="6" t="s">
        <v>17</v>
      </c>
      <c r="E201" s="13">
        <v>928.32</v>
      </c>
      <c r="F201" s="6">
        <v>2</v>
      </c>
      <c r="G201" s="6">
        <v>0.05</v>
      </c>
      <c r="H201" s="33">
        <f t="shared" si="9"/>
        <v>4</v>
      </c>
      <c r="I201" s="19">
        <v>45754</v>
      </c>
      <c r="J201" s="13">
        <v>440.95</v>
      </c>
      <c r="L201" t="s">
        <v>38</v>
      </c>
      <c r="M201">
        <v>928.32</v>
      </c>
      <c r="N201" s="8">
        <v>0.05</v>
      </c>
      <c r="O201" s="11">
        <v>440.95</v>
      </c>
      <c r="Q201" s="11">
        <f t="shared" si="10"/>
        <v>440.95400000000001</v>
      </c>
      <c r="AU201" s="11">
        <v>928.32</v>
      </c>
      <c r="AW201" s="27">
        <f t="shared" si="11"/>
        <v>-1</v>
      </c>
      <c r="BA201" t="s">
        <v>38</v>
      </c>
      <c r="BB201">
        <v>928.32</v>
      </c>
    </row>
    <row r="202" spans="1:54" ht="15.75" customHeight="1" x14ac:dyDescent="0.3"/>
    <row r="203" spans="1:54" ht="15.75" customHeight="1" x14ac:dyDescent="0.3"/>
    <row r="204" spans="1:54" ht="15.75" customHeight="1" x14ac:dyDescent="0.3"/>
    <row r="205" spans="1:54" ht="15.75" customHeight="1" x14ac:dyDescent="0.3"/>
    <row r="206" spans="1:54" ht="15.75" customHeight="1" x14ac:dyDescent="0.3"/>
    <row r="207" spans="1:54" ht="15.75" customHeight="1" x14ac:dyDescent="0.3"/>
    <row r="208" spans="1:54"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4">
    <mergeCell ref="L1:M1"/>
    <mergeCell ref="R1:Z1"/>
    <mergeCell ref="AU1:AW1"/>
    <mergeCell ref="BC1:BD1"/>
  </mergeCells>
  <phoneticPr fontId="10" type="noConversion"/>
  <conditionalFormatting sqref="L2:M201">
    <cfRule type="top10" dxfId="0" priority="1" rank="10"/>
  </conditionalFormatting>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5E549-18E4-4CBA-8FB1-29003EE956F5}">
  <dimension ref="A1:Z60"/>
  <sheetViews>
    <sheetView workbookViewId="0">
      <selection activeCell="L2" sqref="L2"/>
    </sheetView>
  </sheetViews>
  <sheetFormatPr defaultRowHeight="14.4" x14ac:dyDescent="0.3"/>
  <sheetData>
    <row r="1" spans="1:26" x14ac:dyDescent="0.3">
      <c r="A1" s="34"/>
      <c r="B1" s="34"/>
      <c r="C1" s="34"/>
      <c r="D1" s="34"/>
      <c r="E1" s="34"/>
      <c r="F1" s="34"/>
      <c r="G1" s="35"/>
      <c r="H1" s="35"/>
      <c r="I1" s="35"/>
      <c r="J1" s="35"/>
      <c r="K1" s="35"/>
      <c r="L1" s="35"/>
      <c r="M1" s="35"/>
      <c r="N1" s="35"/>
      <c r="O1" s="36"/>
      <c r="P1" s="36"/>
      <c r="Q1" s="36"/>
      <c r="R1" s="36"/>
      <c r="S1" s="36"/>
      <c r="T1" s="36"/>
      <c r="U1" s="36"/>
      <c r="V1" s="36"/>
      <c r="W1" s="37"/>
      <c r="X1" s="37"/>
      <c r="Y1" s="37"/>
      <c r="Z1" s="37"/>
    </row>
    <row r="2" spans="1:26" x14ac:dyDescent="0.3">
      <c r="A2" s="34"/>
      <c r="B2" s="34"/>
      <c r="C2" s="34"/>
      <c r="D2" s="34"/>
      <c r="E2" s="34"/>
      <c r="F2" s="34"/>
      <c r="G2" s="35"/>
      <c r="H2" s="35"/>
      <c r="I2" s="35"/>
      <c r="J2" s="35"/>
      <c r="K2" s="35"/>
      <c r="L2" s="35"/>
      <c r="M2" s="35"/>
      <c r="N2" s="35"/>
      <c r="O2" s="36"/>
      <c r="P2" s="36"/>
      <c r="Q2" s="36"/>
      <c r="R2" s="36"/>
      <c r="S2" s="36"/>
      <c r="T2" s="36"/>
      <c r="U2" s="36"/>
      <c r="V2" s="36"/>
      <c r="W2" s="37"/>
      <c r="X2" s="37"/>
      <c r="Y2" s="37"/>
      <c r="Z2" s="37"/>
    </row>
    <row r="3" spans="1:26" x14ac:dyDescent="0.3">
      <c r="A3" s="34"/>
      <c r="B3" s="34"/>
      <c r="C3" s="34"/>
      <c r="D3" s="34"/>
      <c r="E3" s="34"/>
      <c r="F3" s="34"/>
      <c r="G3" s="35"/>
      <c r="H3" s="35"/>
      <c r="I3" s="35"/>
      <c r="J3" s="35"/>
      <c r="K3" s="35"/>
      <c r="L3" s="35"/>
      <c r="M3" s="35"/>
      <c r="N3" s="35"/>
      <c r="O3" s="36"/>
      <c r="P3" s="36"/>
      <c r="Q3" s="36"/>
      <c r="R3" s="36"/>
      <c r="S3" s="36"/>
      <c r="T3" s="36"/>
      <c r="U3" s="36"/>
      <c r="V3" s="36"/>
      <c r="W3" s="37"/>
      <c r="X3" s="37"/>
      <c r="Y3" s="37"/>
      <c r="Z3" s="37"/>
    </row>
    <row r="4" spans="1:26" x14ac:dyDescent="0.3">
      <c r="A4" s="34"/>
      <c r="B4" s="34"/>
      <c r="C4" s="34"/>
      <c r="D4" s="34"/>
      <c r="E4" s="34"/>
      <c r="F4" s="34"/>
      <c r="G4" s="35"/>
      <c r="H4" s="35"/>
      <c r="I4" s="35"/>
      <c r="J4" s="35"/>
      <c r="K4" s="35"/>
      <c r="L4" s="35"/>
      <c r="M4" s="35"/>
      <c r="N4" s="35"/>
      <c r="O4" s="36"/>
      <c r="P4" s="36"/>
      <c r="Q4" s="36"/>
      <c r="R4" s="36"/>
      <c r="S4" s="36"/>
      <c r="T4" s="36"/>
      <c r="U4" s="36"/>
      <c r="V4" s="36"/>
      <c r="W4" s="37"/>
      <c r="X4" s="37"/>
      <c r="Y4" s="37"/>
      <c r="Z4" s="37"/>
    </row>
    <row r="5" spans="1:26" x14ac:dyDescent="0.3">
      <c r="A5" s="34"/>
      <c r="B5" s="34"/>
      <c r="C5" s="34"/>
      <c r="D5" s="34"/>
      <c r="E5" s="34"/>
      <c r="F5" s="34"/>
      <c r="G5" s="35"/>
      <c r="H5" s="35"/>
      <c r="I5" s="35"/>
      <c r="J5" s="35"/>
      <c r="K5" s="35"/>
      <c r="L5" s="35"/>
      <c r="M5" s="35"/>
      <c r="N5" s="35"/>
      <c r="O5" s="36"/>
      <c r="P5" s="36"/>
      <c r="Q5" s="36"/>
      <c r="R5" s="36"/>
      <c r="S5" s="36"/>
      <c r="T5" s="36"/>
      <c r="U5" s="36"/>
      <c r="V5" s="36"/>
      <c r="W5" s="37"/>
      <c r="X5" s="37"/>
      <c r="Y5" s="37"/>
      <c r="Z5" s="37"/>
    </row>
    <row r="6" spans="1:26" x14ac:dyDescent="0.3">
      <c r="A6" s="34"/>
      <c r="B6" s="34"/>
      <c r="C6" s="34"/>
      <c r="D6" s="34"/>
      <c r="E6" s="34"/>
      <c r="F6" s="34"/>
      <c r="G6" s="35"/>
      <c r="H6" s="35"/>
      <c r="I6" s="35"/>
      <c r="J6" s="35"/>
      <c r="K6" s="35"/>
      <c r="L6" s="35"/>
      <c r="M6" s="35"/>
      <c r="N6" s="35"/>
      <c r="O6" s="36"/>
      <c r="P6" s="36"/>
      <c r="Q6" s="36"/>
      <c r="R6" s="36"/>
      <c r="S6" s="36"/>
      <c r="T6" s="36"/>
      <c r="U6" s="36"/>
      <c r="V6" s="36"/>
      <c r="W6" s="37"/>
      <c r="X6" s="37"/>
      <c r="Y6" s="37"/>
      <c r="Z6" s="37"/>
    </row>
    <row r="7" spans="1:26" x14ac:dyDescent="0.3">
      <c r="A7" s="34"/>
      <c r="B7" s="34"/>
      <c r="C7" s="34"/>
      <c r="D7" s="34"/>
      <c r="E7" s="34"/>
      <c r="F7" s="34"/>
      <c r="G7" s="35"/>
      <c r="H7" s="35"/>
      <c r="I7" s="35"/>
      <c r="J7" s="35"/>
      <c r="K7" s="35"/>
      <c r="L7" s="35"/>
      <c r="M7" s="35"/>
      <c r="N7" s="35"/>
      <c r="O7" s="36"/>
      <c r="P7" s="36"/>
      <c r="Q7" s="36"/>
      <c r="R7" s="36"/>
      <c r="S7" s="36"/>
      <c r="T7" s="36"/>
      <c r="U7" s="36"/>
      <c r="V7" s="36"/>
      <c r="W7" s="37"/>
      <c r="X7" s="37"/>
      <c r="Y7" s="37"/>
      <c r="Z7" s="37"/>
    </row>
    <row r="8" spans="1:26" x14ac:dyDescent="0.3">
      <c r="A8" s="34"/>
      <c r="B8" s="34"/>
      <c r="C8" s="34"/>
      <c r="D8" s="34"/>
      <c r="E8" s="34"/>
      <c r="F8" s="34"/>
      <c r="G8" s="35"/>
      <c r="H8" s="35"/>
      <c r="I8" s="35"/>
      <c r="J8" s="35"/>
      <c r="K8" s="35"/>
      <c r="L8" s="35"/>
      <c r="M8" s="35"/>
      <c r="N8" s="35"/>
      <c r="O8" s="36"/>
      <c r="P8" s="36"/>
      <c r="Q8" s="36"/>
      <c r="R8" s="36"/>
      <c r="S8" s="36"/>
      <c r="T8" s="36"/>
      <c r="U8" s="36"/>
      <c r="V8" s="36"/>
      <c r="W8" s="37"/>
      <c r="X8" s="37"/>
      <c r="Y8" s="37"/>
      <c r="Z8" s="37"/>
    </row>
    <row r="9" spans="1:26" x14ac:dyDescent="0.3">
      <c r="A9" s="34"/>
      <c r="B9" s="34"/>
      <c r="C9" s="34"/>
      <c r="D9" s="34"/>
      <c r="E9" s="34"/>
      <c r="F9" s="34"/>
      <c r="G9" s="35"/>
      <c r="H9" s="35"/>
      <c r="I9" s="35"/>
      <c r="J9" s="35"/>
      <c r="K9" s="35"/>
      <c r="L9" s="35"/>
      <c r="M9" s="35"/>
      <c r="N9" s="35"/>
      <c r="O9" s="36"/>
      <c r="P9" s="36"/>
      <c r="Q9" s="36"/>
      <c r="R9" s="36"/>
      <c r="S9" s="36"/>
      <c r="T9" s="36"/>
      <c r="U9" s="36"/>
      <c r="V9" s="36"/>
      <c r="W9" s="37"/>
      <c r="X9" s="37"/>
      <c r="Y9" s="37"/>
      <c r="Z9" s="37"/>
    </row>
    <row r="10" spans="1:26" x14ac:dyDescent="0.3">
      <c r="A10" s="34"/>
      <c r="B10" s="34"/>
      <c r="C10" s="34"/>
      <c r="D10" s="34"/>
      <c r="E10" s="34"/>
      <c r="F10" s="34"/>
      <c r="G10" s="35"/>
      <c r="H10" s="35"/>
      <c r="I10" s="35"/>
      <c r="J10" s="35"/>
      <c r="K10" s="35"/>
      <c r="L10" s="35"/>
      <c r="M10" s="35"/>
      <c r="N10" s="35"/>
      <c r="O10" s="36"/>
      <c r="P10" s="36"/>
      <c r="Q10" s="36"/>
      <c r="R10" s="36"/>
      <c r="S10" s="36"/>
      <c r="T10" s="36"/>
      <c r="U10" s="36"/>
      <c r="V10" s="36"/>
      <c r="W10" s="37"/>
      <c r="X10" s="37"/>
      <c r="Y10" s="37"/>
      <c r="Z10" s="37"/>
    </row>
    <row r="11" spans="1:26" x14ac:dyDescent="0.3">
      <c r="A11" s="34"/>
      <c r="B11" s="34"/>
      <c r="C11" s="34"/>
      <c r="D11" s="34"/>
      <c r="E11" s="34"/>
      <c r="F11" s="34"/>
      <c r="G11" s="35"/>
      <c r="H11" s="35"/>
      <c r="I11" s="35"/>
      <c r="J11" s="35"/>
      <c r="K11" s="35"/>
      <c r="L11" s="35"/>
      <c r="M11" s="35"/>
      <c r="N11" s="35"/>
      <c r="O11" s="36"/>
      <c r="P11" s="36"/>
      <c r="Q11" s="36"/>
      <c r="R11" s="36"/>
      <c r="S11" s="36"/>
      <c r="T11" s="36"/>
      <c r="U11" s="36"/>
      <c r="V11" s="36"/>
      <c r="W11" s="37"/>
      <c r="X11" s="37"/>
      <c r="Y11" s="37"/>
      <c r="Z11" s="37"/>
    </row>
    <row r="12" spans="1:26" x14ac:dyDescent="0.3">
      <c r="A12" s="34"/>
      <c r="B12" s="34"/>
      <c r="C12" s="34"/>
      <c r="D12" s="34"/>
      <c r="E12" s="34"/>
      <c r="F12" s="34"/>
      <c r="G12" s="35"/>
      <c r="H12" s="35"/>
      <c r="I12" s="35"/>
      <c r="J12" s="35"/>
      <c r="K12" s="35"/>
      <c r="L12" s="35"/>
      <c r="M12" s="35"/>
      <c r="N12" s="35"/>
      <c r="O12" s="36"/>
      <c r="P12" s="36"/>
      <c r="Q12" s="36"/>
      <c r="R12" s="36"/>
      <c r="S12" s="36"/>
      <c r="T12" s="36"/>
      <c r="U12" s="36"/>
      <c r="V12" s="36"/>
      <c r="W12" s="37"/>
      <c r="X12" s="37"/>
      <c r="Y12" s="37"/>
      <c r="Z12" s="37"/>
    </row>
    <row r="13" spans="1:26" x14ac:dyDescent="0.3">
      <c r="A13" s="34"/>
      <c r="B13" s="34"/>
      <c r="C13" s="34"/>
      <c r="D13" s="34"/>
      <c r="E13" s="34"/>
      <c r="F13" s="34"/>
      <c r="G13" s="35"/>
      <c r="H13" s="35"/>
      <c r="I13" s="35"/>
      <c r="J13" s="35"/>
      <c r="K13" s="35"/>
      <c r="L13" s="35"/>
      <c r="M13" s="35"/>
      <c r="N13" s="35"/>
      <c r="O13" s="36"/>
      <c r="P13" s="36"/>
      <c r="Q13" s="36"/>
      <c r="R13" s="36"/>
      <c r="S13" s="36"/>
      <c r="T13" s="36"/>
      <c r="U13" s="36"/>
      <c r="V13" s="36"/>
      <c r="W13" s="37"/>
      <c r="X13" s="37"/>
      <c r="Y13" s="37"/>
      <c r="Z13" s="37"/>
    </row>
    <row r="14" spans="1:26" x14ac:dyDescent="0.3">
      <c r="A14" s="34"/>
      <c r="B14" s="34"/>
      <c r="C14" s="34"/>
      <c r="D14" s="34"/>
      <c r="E14" s="34"/>
      <c r="F14" s="34"/>
      <c r="G14" s="35"/>
      <c r="H14" s="35"/>
      <c r="I14" s="35"/>
      <c r="J14" s="35"/>
      <c r="K14" s="35"/>
      <c r="L14" s="35"/>
      <c r="M14" s="35"/>
      <c r="N14" s="35"/>
      <c r="O14" s="36"/>
      <c r="P14" s="36"/>
      <c r="Q14" s="36"/>
      <c r="R14" s="36"/>
      <c r="S14" s="36"/>
      <c r="T14" s="36"/>
      <c r="U14" s="36"/>
      <c r="V14" s="36"/>
      <c r="W14" s="37"/>
      <c r="X14" s="37"/>
      <c r="Y14" s="37"/>
      <c r="Z14" s="37"/>
    </row>
    <row r="15" spans="1:26" x14ac:dyDescent="0.3">
      <c r="A15" s="34"/>
      <c r="B15" s="34"/>
      <c r="C15" s="34"/>
      <c r="D15" s="34"/>
      <c r="E15" s="34"/>
      <c r="F15" s="34"/>
      <c r="G15" s="35"/>
      <c r="H15" s="35"/>
      <c r="I15" s="35"/>
      <c r="J15" s="35"/>
      <c r="K15" s="35"/>
      <c r="L15" s="35"/>
      <c r="M15" s="35"/>
      <c r="N15" s="35"/>
      <c r="O15" s="36"/>
      <c r="P15" s="36"/>
      <c r="Q15" s="36"/>
      <c r="R15" s="36"/>
      <c r="S15" s="36"/>
      <c r="T15" s="36"/>
      <c r="U15" s="36"/>
      <c r="V15" s="36"/>
      <c r="W15" s="37"/>
      <c r="X15" s="37"/>
      <c r="Y15" s="37"/>
      <c r="Z15" s="37"/>
    </row>
    <row r="16" spans="1:26" x14ac:dyDescent="0.3">
      <c r="A16" s="34"/>
      <c r="B16" s="34"/>
      <c r="C16" s="34"/>
      <c r="D16" s="34"/>
      <c r="E16" s="34"/>
      <c r="F16" s="34"/>
      <c r="G16" s="35"/>
      <c r="H16" s="35"/>
      <c r="I16" s="35"/>
      <c r="J16" s="35"/>
      <c r="K16" s="35"/>
      <c r="L16" s="35"/>
      <c r="M16" s="35"/>
      <c r="N16" s="35"/>
      <c r="O16" s="36"/>
      <c r="P16" s="36"/>
      <c r="Q16" s="36"/>
      <c r="R16" s="36"/>
      <c r="S16" s="36"/>
      <c r="T16" s="36"/>
      <c r="U16" s="36"/>
      <c r="V16" s="36"/>
      <c r="W16" s="37"/>
      <c r="X16" s="37"/>
      <c r="Y16" s="37"/>
      <c r="Z16" s="37"/>
    </row>
    <row r="17" spans="1:26" x14ac:dyDescent="0.3">
      <c r="A17" s="34"/>
      <c r="B17" s="34"/>
      <c r="C17" s="34"/>
      <c r="D17" s="34"/>
      <c r="E17" s="34"/>
      <c r="F17" s="34"/>
      <c r="G17" s="35"/>
      <c r="H17" s="35"/>
      <c r="I17" s="35"/>
      <c r="J17" s="35"/>
      <c r="K17" s="35"/>
      <c r="L17" s="35"/>
      <c r="M17" s="35"/>
      <c r="N17" s="35"/>
      <c r="O17" s="36"/>
      <c r="P17" s="36"/>
      <c r="Q17" s="36"/>
      <c r="R17" s="36"/>
      <c r="S17" s="36"/>
      <c r="T17" s="36"/>
      <c r="U17" s="36"/>
      <c r="V17" s="36"/>
      <c r="W17" s="37"/>
      <c r="X17" s="37"/>
      <c r="Y17" s="37"/>
      <c r="Z17" s="37"/>
    </row>
    <row r="18" spans="1:26" x14ac:dyDescent="0.3">
      <c r="A18" s="34"/>
      <c r="B18" s="34"/>
      <c r="C18" s="34"/>
      <c r="D18" s="34"/>
      <c r="E18" s="34"/>
      <c r="F18" s="34"/>
      <c r="G18" s="35"/>
      <c r="H18" s="35"/>
      <c r="I18" s="35"/>
      <c r="J18" s="35"/>
      <c r="K18" s="35"/>
      <c r="L18" s="35"/>
      <c r="M18" s="35"/>
      <c r="N18" s="35"/>
      <c r="O18" s="36"/>
      <c r="P18" s="36"/>
      <c r="Q18" s="36"/>
      <c r="R18" s="36"/>
      <c r="S18" s="36"/>
      <c r="T18" s="36"/>
      <c r="U18" s="36"/>
      <c r="V18" s="36"/>
      <c r="W18" s="37"/>
      <c r="X18" s="37"/>
      <c r="Y18" s="37"/>
      <c r="Z18" s="37"/>
    </row>
    <row r="19" spans="1:26" x14ac:dyDescent="0.3">
      <c r="A19" s="34"/>
      <c r="B19" s="34"/>
      <c r="C19" s="34"/>
      <c r="D19" s="34"/>
      <c r="E19" s="34"/>
      <c r="F19" s="34"/>
      <c r="G19" s="35"/>
      <c r="H19" s="35"/>
      <c r="I19" s="35"/>
      <c r="J19" s="35"/>
      <c r="K19" s="35"/>
      <c r="L19" s="35"/>
      <c r="M19" s="35"/>
      <c r="N19" s="35"/>
      <c r="O19" s="36"/>
      <c r="P19" s="36"/>
      <c r="Q19" s="36"/>
      <c r="R19" s="36"/>
      <c r="S19" s="36"/>
      <c r="T19" s="36"/>
      <c r="U19" s="36"/>
      <c r="V19" s="36"/>
      <c r="W19" s="37"/>
      <c r="X19" s="37"/>
      <c r="Y19" s="37"/>
      <c r="Z19" s="37"/>
    </row>
    <row r="20" spans="1:26" x14ac:dyDescent="0.3">
      <c r="A20" s="34"/>
      <c r="B20" s="34"/>
      <c r="C20" s="34"/>
      <c r="D20" s="34"/>
      <c r="E20" s="34"/>
      <c r="F20" s="34"/>
      <c r="G20" s="35"/>
      <c r="H20" s="35"/>
      <c r="I20" s="35"/>
      <c r="J20" s="35"/>
      <c r="K20" s="35"/>
      <c r="L20" s="35"/>
      <c r="M20" s="35"/>
      <c r="N20" s="35"/>
      <c r="O20" s="36"/>
      <c r="P20" s="36"/>
      <c r="Q20" s="36"/>
      <c r="R20" s="36"/>
      <c r="S20" s="36"/>
      <c r="T20" s="36"/>
      <c r="U20" s="36"/>
      <c r="V20" s="36"/>
      <c r="W20" s="37"/>
      <c r="X20" s="37"/>
      <c r="Y20" s="37"/>
      <c r="Z20" s="37"/>
    </row>
    <row r="21" spans="1:26" x14ac:dyDescent="0.3">
      <c r="A21" s="34"/>
      <c r="B21" s="34"/>
      <c r="C21" s="34"/>
      <c r="D21" s="34"/>
      <c r="E21" s="34"/>
      <c r="F21" s="34"/>
      <c r="G21" s="35"/>
      <c r="H21" s="35"/>
      <c r="I21" s="35"/>
      <c r="J21" s="35"/>
      <c r="K21" s="35"/>
      <c r="L21" s="35"/>
      <c r="M21" s="35"/>
      <c r="N21" s="35"/>
      <c r="O21" s="36"/>
      <c r="P21" s="36"/>
      <c r="Q21" s="36"/>
      <c r="R21" s="36"/>
      <c r="S21" s="36"/>
      <c r="T21" s="36"/>
      <c r="U21" s="36"/>
      <c r="V21" s="36"/>
      <c r="W21" s="37"/>
      <c r="X21" s="37"/>
      <c r="Y21" s="37"/>
      <c r="Z21" s="37"/>
    </row>
    <row r="22" spans="1:26" x14ac:dyDescent="0.3">
      <c r="A22" s="34"/>
      <c r="B22" s="34"/>
      <c r="C22" s="34"/>
      <c r="D22" s="34"/>
      <c r="E22" s="34"/>
      <c r="F22" s="34"/>
      <c r="G22" s="35"/>
      <c r="H22" s="35"/>
      <c r="I22" s="35"/>
      <c r="J22" s="35"/>
      <c r="K22" s="35"/>
      <c r="L22" s="35"/>
      <c r="M22" s="35"/>
      <c r="N22" s="35"/>
      <c r="O22" s="36"/>
      <c r="P22" s="36"/>
      <c r="Q22" s="36"/>
      <c r="R22" s="36"/>
      <c r="S22" s="36"/>
      <c r="T22" s="36"/>
      <c r="U22" s="36"/>
      <c r="V22" s="36"/>
      <c r="W22" s="37"/>
      <c r="X22" s="37"/>
      <c r="Y22" s="37"/>
      <c r="Z22" s="37"/>
    </row>
    <row r="23" spans="1:26" x14ac:dyDescent="0.3">
      <c r="A23" s="34"/>
      <c r="B23" s="34"/>
      <c r="C23" s="34"/>
      <c r="D23" s="34"/>
      <c r="E23" s="34"/>
      <c r="F23" s="34"/>
      <c r="G23" s="35"/>
      <c r="H23" s="35"/>
      <c r="I23" s="35"/>
      <c r="J23" s="35"/>
      <c r="K23" s="35"/>
      <c r="L23" s="35"/>
      <c r="M23" s="35"/>
      <c r="N23" s="35"/>
      <c r="O23" s="36"/>
      <c r="P23" s="36"/>
      <c r="Q23" s="36"/>
      <c r="R23" s="36"/>
      <c r="S23" s="36"/>
      <c r="T23" s="36"/>
      <c r="U23" s="36"/>
      <c r="V23" s="36"/>
      <c r="W23" s="37"/>
      <c r="X23" s="37"/>
      <c r="Y23" s="37"/>
      <c r="Z23" s="37"/>
    </row>
    <row r="24" spans="1:26" x14ac:dyDescent="0.3">
      <c r="A24" s="34"/>
      <c r="B24" s="34"/>
      <c r="C24" s="34"/>
      <c r="D24" s="34"/>
      <c r="E24" s="34"/>
      <c r="F24" s="34"/>
      <c r="G24" s="35"/>
      <c r="H24" s="35"/>
      <c r="I24" s="35"/>
      <c r="J24" s="35"/>
      <c r="K24" s="35"/>
      <c r="L24" s="35"/>
      <c r="M24" s="35"/>
      <c r="N24" s="35"/>
      <c r="O24" s="36"/>
      <c r="P24" s="36"/>
      <c r="Q24" s="36"/>
      <c r="R24" s="36"/>
      <c r="S24" s="36"/>
      <c r="T24" s="36"/>
      <c r="U24" s="36"/>
      <c r="V24" s="36"/>
      <c r="W24" s="37"/>
      <c r="X24" s="37"/>
      <c r="Y24" s="37"/>
      <c r="Z24" s="37"/>
    </row>
    <row r="25" spans="1:26" x14ac:dyDescent="0.3">
      <c r="A25" s="34"/>
      <c r="B25" s="34"/>
      <c r="C25" s="34"/>
      <c r="D25" s="34"/>
      <c r="E25" s="34"/>
      <c r="F25" s="34"/>
      <c r="G25" s="35"/>
      <c r="H25" s="35"/>
      <c r="I25" s="35"/>
      <c r="J25" s="35"/>
      <c r="K25" s="35"/>
      <c r="L25" s="35"/>
      <c r="M25" s="35"/>
      <c r="N25" s="35"/>
      <c r="O25" s="36"/>
      <c r="P25" s="36"/>
      <c r="Q25" s="36"/>
      <c r="R25" s="36"/>
      <c r="S25" s="36"/>
      <c r="T25" s="36"/>
      <c r="U25" s="36"/>
      <c r="V25" s="36"/>
      <c r="W25" s="37"/>
      <c r="X25" s="37"/>
      <c r="Y25" s="37"/>
      <c r="Z25" s="37"/>
    </row>
    <row r="26" spans="1:26" x14ac:dyDescent="0.3">
      <c r="A26" s="34"/>
      <c r="B26" s="34"/>
      <c r="C26" s="34"/>
      <c r="D26" s="34"/>
      <c r="E26" s="34"/>
      <c r="F26" s="34"/>
      <c r="G26" s="35"/>
      <c r="H26" s="35"/>
      <c r="I26" s="35"/>
      <c r="J26" s="35"/>
      <c r="K26" s="35"/>
      <c r="L26" s="35"/>
      <c r="M26" s="35"/>
      <c r="N26" s="35"/>
      <c r="O26" s="36"/>
      <c r="P26" s="36"/>
      <c r="Q26" s="36"/>
      <c r="R26" s="36"/>
      <c r="S26" s="36"/>
      <c r="T26" s="36"/>
      <c r="U26" s="36"/>
      <c r="V26" s="36"/>
      <c r="W26" s="37"/>
      <c r="X26" s="37"/>
      <c r="Y26" s="37"/>
      <c r="Z26" s="37"/>
    </row>
    <row r="27" spans="1:26" x14ac:dyDescent="0.3">
      <c r="A27" s="34"/>
      <c r="B27" s="34"/>
      <c r="C27" s="34"/>
      <c r="D27" s="34"/>
      <c r="E27" s="34"/>
      <c r="F27" s="34"/>
      <c r="G27" s="35"/>
      <c r="H27" s="35"/>
      <c r="I27" s="35"/>
      <c r="J27" s="35"/>
      <c r="K27" s="35"/>
      <c r="L27" s="35"/>
      <c r="M27" s="35"/>
      <c r="N27" s="35"/>
      <c r="O27" s="36"/>
      <c r="P27" s="36"/>
      <c r="Q27" s="36"/>
      <c r="R27" s="36"/>
      <c r="S27" s="36"/>
      <c r="T27" s="36"/>
      <c r="U27" s="36"/>
      <c r="V27" s="36"/>
      <c r="W27" s="37"/>
      <c r="X27" s="37"/>
      <c r="Y27" s="37"/>
      <c r="Z27" s="37"/>
    </row>
    <row r="28" spans="1:26" x14ac:dyDescent="0.3">
      <c r="A28" s="34"/>
      <c r="B28" s="34"/>
      <c r="C28" s="34"/>
      <c r="D28" s="34"/>
      <c r="E28" s="34"/>
      <c r="F28" s="34"/>
      <c r="G28" s="35"/>
      <c r="H28" s="35"/>
      <c r="I28" s="35"/>
      <c r="J28" s="35"/>
      <c r="K28" s="35"/>
      <c r="L28" s="35"/>
      <c r="M28" s="35"/>
      <c r="N28" s="35"/>
      <c r="O28" s="36"/>
      <c r="P28" s="36"/>
      <c r="Q28" s="36"/>
      <c r="R28" s="36"/>
      <c r="S28" s="36"/>
      <c r="T28" s="36"/>
      <c r="U28" s="36"/>
      <c r="V28" s="36"/>
      <c r="W28" s="37"/>
      <c r="X28" s="37"/>
      <c r="Y28" s="37"/>
      <c r="Z28" s="37"/>
    </row>
    <row r="29" spans="1:26" x14ac:dyDescent="0.3">
      <c r="A29" s="34"/>
      <c r="B29" s="34"/>
      <c r="C29" s="34"/>
      <c r="D29" s="34"/>
      <c r="E29" s="34"/>
      <c r="F29" s="34"/>
      <c r="G29" s="35"/>
      <c r="H29" s="35"/>
      <c r="I29" s="35"/>
      <c r="J29" s="35"/>
      <c r="K29" s="35"/>
      <c r="L29" s="35"/>
      <c r="M29" s="35"/>
      <c r="N29" s="35"/>
      <c r="O29" s="36"/>
      <c r="P29" s="36"/>
      <c r="Q29" s="36"/>
      <c r="R29" s="36"/>
      <c r="S29" s="36"/>
      <c r="T29" s="36"/>
      <c r="U29" s="36"/>
      <c r="V29" s="36"/>
      <c r="W29" s="37"/>
      <c r="X29" s="37"/>
      <c r="Y29" s="37"/>
      <c r="Z29" s="37"/>
    </row>
    <row r="30" spans="1:26" x14ac:dyDescent="0.3">
      <c r="A30" s="34"/>
      <c r="B30" s="34"/>
      <c r="C30" s="34"/>
      <c r="D30" s="34"/>
      <c r="E30" s="34"/>
      <c r="F30" s="34"/>
      <c r="G30" s="35"/>
      <c r="H30" s="35"/>
      <c r="I30" s="35"/>
      <c r="J30" s="35"/>
      <c r="K30" s="35"/>
      <c r="L30" s="35"/>
      <c r="M30" s="35"/>
      <c r="N30" s="35"/>
      <c r="O30" s="36"/>
      <c r="P30" s="36"/>
      <c r="Q30" s="36"/>
      <c r="R30" s="36"/>
      <c r="S30" s="36"/>
      <c r="T30" s="36"/>
      <c r="U30" s="36"/>
      <c r="V30" s="36"/>
      <c r="W30" s="37"/>
      <c r="X30" s="37"/>
      <c r="Y30" s="37"/>
      <c r="Z30" s="37"/>
    </row>
    <row r="31" spans="1:26" x14ac:dyDescent="0.3">
      <c r="A31" s="34"/>
      <c r="B31" s="34"/>
      <c r="C31" s="34"/>
      <c r="D31" s="34"/>
      <c r="E31" s="34"/>
      <c r="F31" s="34"/>
      <c r="G31" s="35"/>
      <c r="H31" s="35"/>
      <c r="I31" s="35"/>
      <c r="J31" s="35"/>
      <c r="K31" s="35"/>
      <c r="L31" s="35"/>
      <c r="M31" s="35"/>
      <c r="N31" s="35"/>
      <c r="O31" s="36"/>
      <c r="P31" s="36"/>
      <c r="Q31" s="36"/>
      <c r="R31" s="36"/>
      <c r="S31" s="36"/>
      <c r="T31" s="36"/>
      <c r="U31" s="36"/>
      <c r="V31" s="36"/>
      <c r="W31" s="37"/>
      <c r="X31" s="37"/>
      <c r="Y31" s="37"/>
      <c r="Z31" s="37"/>
    </row>
    <row r="32" spans="1:26" x14ac:dyDescent="0.3">
      <c r="A32" s="34"/>
      <c r="B32" s="34"/>
      <c r="C32" s="34"/>
      <c r="D32" s="34"/>
      <c r="E32" s="34"/>
      <c r="F32" s="34"/>
      <c r="G32" s="35"/>
      <c r="H32" s="35"/>
      <c r="I32" s="35"/>
      <c r="J32" s="35"/>
      <c r="K32" s="35"/>
      <c r="L32" s="35"/>
      <c r="M32" s="35"/>
      <c r="N32" s="35"/>
      <c r="O32" s="36"/>
      <c r="P32" s="36"/>
      <c r="Q32" s="36"/>
      <c r="R32" s="36"/>
      <c r="S32" s="36"/>
      <c r="T32" s="36"/>
      <c r="U32" s="36"/>
      <c r="V32" s="36"/>
      <c r="W32" s="37"/>
      <c r="X32" s="37"/>
      <c r="Y32" s="37"/>
      <c r="Z32" s="37"/>
    </row>
    <row r="33" spans="1:26" x14ac:dyDescent="0.3">
      <c r="A33" s="34"/>
      <c r="B33" s="34"/>
      <c r="C33" s="34"/>
      <c r="D33" s="34"/>
      <c r="E33" s="34"/>
      <c r="F33" s="34"/>
      <c r="G33" s="35"/>
      <c r="H33" s="35"/>
      <c r="I33" s="35"/>
      <c r="J33" s="35"/>
      <c r="K33" s="35"/>
      <c r="L33" s="35"/>
      <c r="M33" s="35"/>
      <c r="N33" s="35"/>
      <c r="O33" s="36"/>
      <c r="P33" s="36"/>
      <c r="Q33" s="36"/>
      <c r="R33" s="36"/>
      <c r="S33" s="36"/>
      <c r="T33" s="36"/>
      <c r="U33" s="36"/>
      <c r="V33" s="36"/>
      <c r="W33" s="37"/>
      <c r="X33" s="37"/>
      <c r="Y33" s="37"/>
      <c r="Z33" s="37"/>
    </row>
    <row r="34" spans="1:26" x14ac:dyDescent="0.3">
      <c r="A34" s="34"/>
      <c r="B34" s="34"/>
      <c r="C34" s="34"/>
      <c r="D34" s="34"/>
      <c r="E34" s="34"/>
      <c r="F34" s="34"/>
      <c r="G34" s="35"/>
      <c r="H34" s="35"/>
      <c r="I34" s="35"/>
      <c r="J34" s="35"/>
      <c r="K34" s="35"/>
      <c r="L34" s="35"/>
      <c r="M34" s="35"/>
      <c r="N34" s="35"/>
      <c r="O34" s="36"/>
      <c r="P34" s="36"/>
      <c r="Q34" s="36"/>
      <c r="R34" s="36"/>
      <c r="S34" s="36"/>
      <c r="T34" s="36"/>
      <c r="U34" s="36"/>
      <c r="V34" s="36"/>
      <c r="W34" s="37"/>
      <c r="X34" s="37"/>
      <c r="Y34" s="37"/>
      <c r="Z34" s="37"/>
    </row>
    <row r="35" spans="1:26" x14ac:dyDescent="0.3">
      <c r="A35" s="34"/>
      <c r="B35" s="34"/>
      <c r="C35" s="34"/>
      <c r="D35" s="34"/>
      <c r="E35" s="34"/>
      <c r="F35" s="34"/>
      <c r="G35" s="35"/>
      <c r="H35" s="35"/>
      <c r="I35" s="35"/>
      <c r="J35" s="35"/>
      <c r="K35" s="35"/>
      <c r="L35" s="35"/>
      <c r="M35" s="35"/>
      <c r="N35" s="35"/>
      <c r="O35" s="36"/>
      <c r="P35" s="36"/>
      <c r="Q35" s="36"/>
      <c r="R35" s="36"/>
      <c r="S35" s="36"/>
      <c r="T35" s="36"/>
      <c r="U35" s="36"/>
      <c r="V35" s="36"/>
      <c r="W35" s="37"/>
      <c r="X35" s="37"/>
      <c r="Y35" s="37"/>
      <c r="Z35" s="37"/>
    </row>
    <row r="36" spans="1:26" x14ac:dyDescent="0.3">
      <c r="A36" s="34"/>
      <c r="B36" s="34"/>
      <c r="C36" s="34"/>
      <c r="D36" s="34"/>
      <c r="E36" s="34"/>
      <c r="F36" s="34"/>
      <c r="G36" s="35"/>
      <c r="H36" s="35"/>
      <c r="I36" s="35"/>
      <c r="J36" s="35"/>
      <c r="K36" s="35"/>
      <c r="L36" s="35"/>
      <c r="M36" s="35"/>
      <c r="N36" s="35"/>
      <c r="O36" s="36"/>
      <c r="P36" s="36"/>
      <c r="Q36" s="36"/>
      <c r="R36" s="36"/>
      <c r="S36" s="36"/>
      <c r="T36" s="36"/>
      <c r="U36" s="36"/>
      <c r="V36" s="36"/>
      <c r="W36" s="37"/>
      <c r="X36" s="37"/>
      <c r="Y36" s="37"/>
      <c r="Z36" s="37"/>
    </row>
    <row r="37" spans="1:26" x14ac:dyDescent="0.3">
      <c r="A37" s="34"/>
      <c r="B37" s="34"/>
      <c r="C37" s="34"/>
      <c r="D37" s="34"/>
      <c r="E37" s="34"/>
      <c r="F37" s="34"/>
      <c r="G37" s="35"/>
      <c r="H37" s="35"/>
      <c r="I37" s="35"/>
      <c r="J37" s="35"/>
      <c r="K37" s="35"/>
      <c r="L37" s="35"/>
      <c r="M37" s="35"/>
      <c r="N37" s="35"/>
      <c r="O37" s="36"/>
      <c r="P37" s="36"/>
      <c r="Q37" s="36"/>
      <c r="R37" s="36"/>
      <c r="S37" s="36"/>
      <c r="T37" s="36"/>
      <c r="U37" s="36"/>
      <c r="V37" s="36"/>
      <c r="W37" s="37"/>
      <c r="X37" s="37"/>
      <c r="Y37" s="37"/>
      <c r="Z37" s="37"/>
    </row>
    <row r="38" spans="1:26" x14ac:dyDescent="0.3">
      <c r="A38" s="34"/>
      <c r="B38" s="34"/>
      <c r="C38" s="34"/>
      <c r="D38" s="34"/>
      <c r="E38" s="34"/>
      <c r="F38" s="34"/>
      <c r="G38" s="35"/>
      <c r="H38" s="35"/>
      <c r="I38" s="35"/>
      <c r="J38" s="35"/>
      <c r="K38" s="35"/>
      <c r="L38" s="35"/>
      <c r="M38" s="35"/>
      <c r="N38" s="35"/>
      <c r="O38" s="36"/>
      <c r="P38" s="36"/>
      <c r="Q38" s="36"/>
      <c r="R38" s="36"/>
      <c r="S38" s="36"/>
      <c r="T38" s="36"/>
      <c r="U38" s="36"/>
      <c r="V38" s="36"/>
      <c r="W38" s="37"/>
      <c r="X38" s="37"/>
      <c r="Y38" s="37"/>
      <c r="Z38" s="37"/>
    </row>
    <row r="39" spans="1:26" x14ac:dyDescent="0.3">
      <c r="A39" s="34"/>
      <c r="B39" s="34"/>
      <c r="C39" s="34"/>
      <c r="D39" s="34"/>
      <c r="E39" s="34"/>
      <c r="F39" s="34"/>
      <c r="G39" s="35"/>
      <c r="H39" s="35"/>
      <c r="I39" s="35"/>
      <c r="J39" s="35"/>
      <c r="K39" s="35"/>
      <c r="L39" s="35"/>
      <c r="M39" s="35"/>
      <c r="N39" s="35"/>
      <c r="O39" s="36"/>
      <c r="P39" s="36"/>
      <c r="Q39" s="36"/>
      <c r="R39" s="36"/>
      <c r="S39" s="36"/>
      <c r="T39" s="36"/>
      <c r="U39" s="36"/>
      <c r="V39" s="36"/>
      <c r="W39" s="37"/>
      <c r="X39" s="37"/>
      <c r="Y39" s="37"/>
      <c r="Z39" s="37"/>
    </row>
    <row r="40" spans="1:26" x14ac:dyDescent="0.3">
      <c r="A40" s="34"/>
      <c r="B40" s="34"/>
      <c r="C40" s="34"/>
      <c r="D40" s="34"/>
      <c r="E40" s="34"/>
      <c r="F40" s="34"/>
      <c r="G40" s="35"/>
      <c r="H40" s="35"/>
      <c r="I40" s="35"/>
      <c r="J40" s="35"/>
      <c r="K40" s="35"/>
      <c r="L40" s="35"/>
      <c r="M40" s="35"/>
      <c r="N40" s="35"/>
      <c r="O40" s="36"/>
      <c r="P40" s="36"/>
      <c r="Q40" s="36"/>
      <c r="R40" s="36"/>
      <c r="S40" s="36"/>
      <c r="T40" s="36"/>
      <c r="U40" s="36"/>
      <c r="V40" s="36"/>
      <c r="W40" s="37"/>
      <c r="X40" s="37"/>
      <c r="Y40" s="37"/>
      <c r="Z40" s="37"/>
    </row>
    <row r="41" spans="1:26" x14ac:dyDescent="0.3">
      <c r="A41" s="34"/>
      <c r="B41" s="34"/>
      <c r="C41" s="34"/>
      <c r="D41" s="34"/>
      <c r="E41" s="34"/>
      <c r="F41" s="34"/>
      <c r="G41" s="35"/>
      <c r="H41" s="35"/>
      <c r="I41" s="35"/>
      <c r="J41" s="35"/>
      <c r="K41" s="35"/>
      <c r="L41" s="35"/>
      <c r="M41" s="35"/>
      <c r="N41" s="35"/>
      <c r="O41" s="36"/>
      <c r="P41" s="36"/>
      <c r="Q41" s="36"/>
      <c r="R41" s="36"/>
      <c r="S41" s="36"/>
      <c r="T41" s="36"/>
      <c r="U41" s="36"/>
      <c r="V41" s="36"/>
      <c r="W41" s="37"/>
      <c r="X41" s="37"/>
      <c r="Y41" s="37"/>
      <c r="Z41" s="37"/>
    </row>
    <row r="42" spans="1:26" x14ac:dyDescent="0.3">
      <c r="A42" s="34"/>
      <c r="B42" s="34"/>
      <c r="C42" s="34"/>
      <c r="D42" s="34"/>
      <c r="E42" s="34"/>
      <c r="F42" s="34"/>
      <c r="G42" s="35"/>
      <c r="H42" s="35"/>
      <c r="I42" s="35"/>
      <c r="J42" s="35"/>
      <c r="K42" s="35"/>
      <c r="L42" s="35"/>
      <c r="M42" s="35"/>
      <c r="N42" s="35"/>
      <c r="O42" s="36"/>
      <c r="P42" s="36"/>
      <c r="Q42" s="36"/>
      <c r="R42" s="36"/>
      <c r="S42" s="36"/>
      <c r="T42" s="36"/>
      <c r="U42" s="36"/>
      <c r="V42" s="36"/>
      <c r="W42" s="37"/>
      <c r="X42" s="37"/>
      <c r="Y42" s="37"/>
      <c r="Z42" s="37"/>
    </row>
    <row r="43" spans="1:26" x14ac:dyDescent="0.3">
      <c r="A43" s="34"/>
      <c r="B43" s="34"/>
      <c r="C43" s="34"/>
      <c r="D43" s="34"/>
      <c r="E43" s="34"/>
      <c r="F43" s="34"/>
      <c r="G43" s="35"/>
      <c r="H43" s="35"/>
      <c r="I43" s="35"/>
      <c r="J43" s="35"/>
      <c r="K43" s="35"/>
      <c r="L43" s="35"/>
      <c r="M43" s="35"/>
      <c r="N43" s="35"/>
      <c r="O43" s="36"/>
      <c r="P43" s="36"/>
      <c r="Q43" s="36"/>
      <c r="R43" s="36"/>
      <c r="S43" s="36"/>
      <c r="T43" s="36"/>
      <c r="U43" s="36"/>
      <c r="V43" s="36"/>
      <c r="W43" s="37"/>
      <c r="X43" s="37"/>
      <c r="Y43" s="37"/>
      <c r="Z43" s="37"/>
    </row>
    <row r="44" spans="1:26" x14ac:dyDescent="0.3">
      <c r="A44" s="34"/>
      <c r="B44" s="34"/>
      <c r="C44" s="34"/>
      <c r="D44" s="34"/>
      <c r="E44" s="34"/>
      <c r="F44" s="34"/>
      <c r="G44" s="35"/>
      <c r="H44" s="35"/>
      <c r="I44" s="35"/>
      <c r="J44" s="35"/>
      <c r="K44" s="35"/>
      <c r="L44" s="35"/>
      <c r="M44" s="35"/>
      <c r="N44" s="35"/>
      <c r="O44" s="36"/>
      <c r="P44" s="36"/>
      <c r="Q44" s="36"/>
      <c r="R44" s="36"/>
      <c r="S44" s="36"/>
      <c r="T44" s="36"/>
      <c r="U44" s="36"/>
      <c r="V44" s="36"/>
      <c r="W44" s="37"/>
      <c r="X44" s="37"/>
      <c r="Y44" s="37"/>
      <c r="Z44" s="37"/>
    </row>
    <row r="45" spans="1:26" x14ac:dyDescent="0.3">
      <c r="A45" s="34"/>
      <c r="B45" s="34"/>
      <c r="C45" s="34"/>
      <c r="D45" s="34"/>
      <c r="E45" s="34"/>
      <c r="F45" s="34"/>
      <c r="G45" s="35"/>
      <c r="H45" s="35"/>
      <c r="I45" s="35"/>
      <c r="J45" s="35"/>
      <c r="K45" s="35"/>
      <c r="L45" s="35"/>
      <c r="M45" s="35"/>
      <c r="N45" s="35"/>
      <c r="O45" s="36"/>
      <c r="P45" s="36"/>
      <c r="Q45" s="36"/>
      <c r="R45" s="36"/>
      <c r="S45" s="36"/>
      <c r="T45" s="36"/>
      <c r="U45" s="36"/>
      <c r="V45" s="36"/>
      <c r="W45" s="37"/>
      <c r="X45" s="37"/>
      <c r="Y45" s="37"/>
      <c r="Z45" s="37"/>
    </row>
    <row r="46" spans="1:26" x14ac:dyDescent="0.3">
      <c r="A46" s="34"/>
      <c r="B46" s="34"/>
      <c r="C46" s="34"/>
      <c r="D46" s="34"/>
      <c r="E46" s="34"/>
      <c r="F46" s="34"/>
      <c r="G46" s="35"/>
      <c r="H46" s="35"/>
      <c r="I46" s="35"/>
      <c r="J46" s="35"/>
      <c r="K46" s="35"/>
      <c r="L46" s="35"/>
      <c r="M46" s="35"/>
      <c r="N46" s="35"/>
      <c r="O46" s="36"/>
      <c r="P46" s="36"/>
      <c r="Q46" s="36"/>
      <c r="R46" s="36"/>
      <c r="S46" s="36"/>
      <c r="T46" s="36"/>
      <c r="U46" s="36"/>
      <c r="V46" s="36"/>
      <c r="W46" s="37"/>
      <c r="X46" s="37"/>
      <c r="Y46" s="37"/>
      <c r="Z46" s="37"/>
    </row>
    <row r="47" spans="1:26" x14ac:dyDescent="0.3">
      <c r="A47" s="34"/>
      <c r="B47" s="34"/>
      <c r="C47" s="34"/>
      <c r="D47" s="34"/>
      <c r="E47" s="34"/>
      <c r="F47" s="34"/>
      <c r="G47" s="35"/>
      <c r="H47" s="35"/>
      <c r="I47" s="35"/>
      <c r="J47" s="35"/>
      <c r="K47" s="35"/>
      <c r="L47" s="35"/>
      <c r="M47" s="35"/>
      <c r="N47" s="35"/>
      <c r="O47" s="36"/>
      <c r="P47" s="36"/>
      <c r="Q47" s="36"/>
      <c r="R47" s="36"/>
      <c r="S47" s="36"/>
      <c r="T47" s="36"/>
      <c r="U47" s="36"/>
      <c r="V47" s="36"/>
      <c r="W47" s="37"/>
      <c r="X47" s="37"/>
      <c r="Y47" s="37"/>
      <c r="Z47" s="37"/>
    </row>
    <row r="48" spans="1:26" x14ac:dyDescent="0.3">
      <c r="A48" s="34"/>
      <c r="B48" s="34"/>
      <c r="C48" s="34"/>
      <c r="D48" s="34"/>
      <c r="E48" s="34"/>
      <c r="F48" s="34"/>
      <c r="G48" s="35"/>
      <c r="H48" s="35"/>
      <c r="I48" s="35"/>
      <c r="J48" s="35"/>
      <c r="K48" s="35"/>
      <c r="L48" s="35"/>
      <c r="M48" s="35"/>
      <c r="N48" s="35"/>
      <c r="O48" s="36"/>
      <c r="P48" s="36"/>
      <c r="Q48" s="36"/>
      <c r="R48" s="36"/>
      <c r="S48" s="36"/>
      <c r="T48" s="36"/>
      <c r="U48" s="36"/>
      <c r="V48" s="36"/>
      <c r="W48" s="37"/>
      <c r="X48" s="37"/>
      <c r="Y48" s="37"/>
      <c r="Z48" s="37"/>
    </row>
    <row r="49" spans="1:26" x14ac:dyDescent="0.3">
      <c r="A49" s="34"/>
      <c r="B49" s="34"/>
      <c r="C49" s="34"/>
      <c r="D49" s="34"/>
      <c r="E49" s="34"/>
      <c r="F49" s="34"/>
      <c r="G49" s="35"/>
      <c r="H49" s="35"/>
      <c r="I49" s="35"/>
      <c r="J49" s="35"/>
      <c r="K49" s="35"/>
      <c r="L49" s="35"/>
      <c r="M49" s="35"/>
      <c r="N49" s="35"/>
      <c r="O49" s="36"/>
      <c r="P49" s="36"/>
      <c r="Q49" s="36"/>
      <c r="R49" s="36"/>
      <c r="S49" s="36"/>
      <c r="T49" s="36"/>
      <c r="U49" s="36"/>
      <c r="V49" s="36"/>
      <c r="W49" s="37"/>
      <c r="X49" s="37"/>
      <c r="Y49" s="37"/>
      <c r="Z49" s="37"/>
    </row>
    <row r="50" spans="1:26" x14ac:dyDescent="0.3">
      <c r="A50" s="34"/>
      <c r="B50" s="34"/>
      <c r="C50" s="34"/>
      <c r="D50" s="34"/>
      <c r="E50" s="34"/>
      <c r="F50" s="34"/>
      <c r="G50" s="35"/>
      <c r="H50" s="35"/>
      <c r="I50" s="35"/>
      <c r="J50" s="35"/>
      <c r="K50" s="35"/>
      <c r="L50" s="35"/>
      <c r="M50" s="35"/>
      <c r="N50" s="35"/>
      <c r="O50" s="36"/>
      <c r="P50" s="36"/>
      <c r="Q50" s="36"/>
      <c r="R50" s="36"/>
      <c r="S50" s="36"/>
      <c r="T50" s="36"/>
      <c r="U50" s="36"/>
      <c r="V50" s="36"/>
      <c r="W50" s="37"/>
      <c r="X50" s="37"/>
      <c r="Y50" s="37"/>
      <c r="Z50" s="37"/>
    </row>
    <row r="51" spans="1:26" x14ac:dyDescent="0.3">
      <c r="G51" s="35"/>
      <c r="H51" s="35"/>
      <c r="I51" s="35"/>
      <c r="J51" s="35"/>
      <c r="K51" s="35"/>
      <c r="L51" s="35"/>
      <c r="M51" s="35"/>
      <c r="N51" s="35"/>
      <c r="O51" s="36"/>
      <c r="P51" s="36"/>
      <c r="Q51" s="36"/>
      <c r="R51" s="36"/>
      <c r="S51" s="36"/>
      <c r="T51" s="36"/>
      <c r="U51" s="36"/>
      <c r="V51" s="36"/>
      <c r="W51" s="37"/>
      <c r="X51" s="37"/>
      <c r="Y51" s="37"/>
      <c r="Z51" s="37"/>
    </row>
    <row r="52" spans="1:26" x14ac:dyDescent="0.3">
      <c r="G52" s="35"/>
      <c r="H52" s="35"/>
      <c r="I52" s="35"/>
      <c r="J52" s="35"/>
      <c r="K52" s="35"/>
      <c r="L52" s="35"/>
      <c r="M52" s="35"/>
      <c r="N52" s="35"/>
      <c r="O52" s="36"/>
      <c r="P52" s="36"/>
      <c r="Q52" s="36"/>
      <c r="R52" s="36"/>
      <c r="S52" s="36"/>
      <c r="T52" s="36"/>
      <c r="U52" s="36"/>
      <c r="V52" s="36"/>
      <c r="W52" s="37"/>
      <c r="X52" s="37"/>
      <c r="Y52" s="37"/>
      <c r="Z52" s="37"/>
    </row>
    <row r="53" spans="1:26" x14ac:dyDescent="0.3">
      <c r="G53" s="35"/>
      <c r="H53" s="35"/>
      <c r="I53" s="35"/>
      <c r="J53" s="35"/>
      <c r="K53" s="35"/>
      <c r="L53" s="35"/>
      <c r="M53" s="35"/>
      <c r="N53" s="35"/>
    </row>
    <row r="54" spans="1:26" x14ac:dyDescent="0.3">
      <c r="G54" s="35"/>
      <c r="H54" s="35"/>
      <c r="I54" s="35"/>
      <c r="J54" s="35"/>
      <c r="K54" s="35"/>
      <c r="L54" s="35"/>
      <c r="M54" s="35"/>
      <c r="N54" s="35"/>
    </row>
    <row r="55" spans="1:26" x14ac:dyDescent="0.3">
      <c r="G55" s="35"/>
      <c r="H55" s="35"/>
      <c r="I55" s="35"/>
      <c r="J55" s="35"/>
      <c r="K55" s="35"/>
      <c r="L55" s="35"/>
      <c r="M55" s="35"/>
      <c r="N55" s="35"/>
    </row>
    <row r="56" spans="1:26" x14ac:dyDescent="0.3">
      <c r="G56" s="35"/>
      <c r="H56" s="35"/>
      <c r="I56" s="35"/>
      <c r="J56" s="35"/>
      <c r="K56" s="35"/>
      <c r="L56" s="35"/>
      <c r="M56" s="35"/>
      <c r="N56" s="35"/>
    </row>
    <row r="57" spans="1:26" x14ac:dyDescent="0.3">
      <c r="G57" s="35"/>
      <c r="H57" s="35"/>
      <c r="I57" s="35"/>
      <c r="J57" s="35"/>
      <c r="K57" s="35"/>
      <c r="L57" s="35"/>
      <c r="M57" s="35"/>
      <c r="N57" s="35"/>
    </row>
    <row r="58" spans="1:26" x14ac:dyDescent="0.3">
      <c r="G58" s="35"/>
      <c r="H58" s="35"/>
      <c r="I58" s="35"/>
      <c r="J58" s="35"/>
      <c r="K58" s="35"/>
      <c r="L58" s="35"/>
      <c r="M58" s="35"/>
      <c r="N58" s="35"/>
    </row>
    <row r="59" spans="1:26" x14ac:dyDescent="0.3">
      <c r="G59" s="35"/>
      <c r="H59" s="35"/>
      <c r="I59" s="35"/>
      <c r="J59" s="35"/>
      <c r="K59" s="35"/>
      <c r="L59" s="35"/>
      <c r="M59" s="35"/>
      <c r="N59" s="35"/>
    </row>
    <row r="60" spans="1:26" x14ac:dyDescent="0.3">
      <c r="G60" s="35"/>
      <c r="H60" s="35"/>
      <c r="I60" s="35"/>
      <c r="J60" s="35"/>
      <c r="K60" s="35"/>
      <c r="L60" s="35"/>
      <c r="M60" s="35"/>
      <c r="N60" s="35"/>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E35AD5-4794-4B16-81A5-57315D32D528}">
  <dimension ref="A3:H11"/>
  <sheetViews>
    <sheetView workbookViewId="0">
      <selection activeCell="C14" sqref="C14"/>
    </sheetView>
  </sheetViews>
  <sheetFormatPr defaultRowHeight="14.4" x14ac:dyDescent="0.3"/>
  <cols>
    <col min="1" max="1" width="11.6640625" bestFit="1" customWidth="1"/>
    <col min="2" max="7" width="18.5546875" bestFit="1" customWidth="1"/>
    <col min="8" max="8" width="10.77734375" bestFit="1" customWidth="1"/>
  </cols>
  <sheetData>
    <row r="3" spans="1:8" x14ac:dyDescent="0.3">
      <c r="A3" s="30" t="s">
        <v>131</v>
      </c>
      <c r="B3" s="30" t="s">
        <v>5</v>
      </c>
    </row>
    <row r="4" spans="1:8" x14ac:dyDescent="0.3">
      <c r="A4" s="30" t="s">
        <v>4</v>
      </c>
      <c r="B4" t="s">
        <v>14</v>
      </c>
      <c r="C4" t="s">
        <v>17</v>
      </c>
      <c r="D4" t="s">
        <v>23</v>
      </c>
      <c r="E4" t="s">
        <v>29</v>
      </c>
      <c r="F4" t="s">
        <v>41</v>
      </c>
      <c r="G4" t="s">
        <v>129</v>
      </c>
      <c r="H4" t="s">
        <v>130</v>
      </c>
    </row>
    <row r="5" spans="1:8" x14ac:dyDescent="0.3">
      <c r="A5" t="s">
        <v>36</v>
      </c>
      <c r="B5" s="31">
        <v>11297.150000000001</v>
      </c>
      <c r="C5" s="31">
        <v>12200.26</v>
      </c>
      <c r="D5" s="31">
        <v>6621.24</v>
      </c>
      <c r="E5" s="31">
        <v>4876.96</v>
      </c>
      <c r="F5" s="31">
        <v>8472.7199999999993</v>
      </c>
      <c r="G5" s="31"/>
      <c r="H5" s="31">
        <v>43468.33</v>
      </c>
    </row>
    <row r="6" spans="1:8" x14ac:dyDescent="0.3">
      <c r="A6" t="s">
        <v>20</v>
      </c>
      <c r="B6" s="31">
        <v>11389.090000000002</v>
      </c>
      <c r="C6" s="31">
        <v>2401.4499999999998</v>
      </c>
      <c r="D6" s="31">
        <v>2869.54</v>
      </c>
      <c r="E6" s="31">
        <v>7592.3399999999992</v>
      </c>
      <c r="F6" s="31">
        <v>8189.2200000000012</v>
      </c>
      <c r="G6" s="31"/>
      <c r="H6" s="31">
        <v>32441.640000000003</v>
      </c>
    </row>
    <row r="7" spans="1:8" x14ac:dyDescent="0.3">
      <c r="A7" t="s">
        <v>26</v>
      </c>
      <c r="B7" s="31">
        <v>8037.0100000000011</v>
      </c>
      <c r="C7" s="31">
        <v>8422.82</v>
      </c>
      <c r="D7" s="31">
        <v>8191.7099999999991</v>
      </c>
      <c r="E7" s="31">
        <v>6978.08</v>
      </c>
      <c r="F7" s="31">
        <v>3345.8</v>
      </c>
      <c r="G7" s="31"/>
      <c r="H7" s="31">
        <v>34975.420000000006</v>
      </c>
    </row>
    <row r="8" spans="1:8" x14ac:dyDescent="0.3">
      <c r="A8" t="s">
        <v>22</v>
      </c>
      <c r="B8" s="31">
        <v>9588.0400000000009</v>
      </c>
      <c r="C8" s="31">
        <v>8393.630000000001</v>
      </c>
      <c r="D8" s="31">
        <v>11989.070000000003</v>
      </c>
      <c r="E8" s="31">
        <v>7982.73</v>
      </c>
      <c r="F8" s="31">
        <v>2295.3199999999997</v>
      </c>
      <c r="G8" s="31"/>
      <c r="H8" s="31">
        <v>40248.79</v>
      </c>
    </row>
    <row r="9" spans="1:8" x14ac:dyDescent="0.3">
      <c r="A9" t="s">
        <v>13</v>
      </c>
      <c r="B9" s="31">
        <v>6691.17</v>
      </c>
      <c r="C9" s="31">
        <v>10509.429999999998</v>
      </c>
      <c r="D9" s="31">
        <v>11372.44</v>
      </c>
      <c r="E9" s="31">
        <v>9182.7800000000007</v>
      </c>
      <c r="F9" s="31">
        <v>6327.76</v>
      </c>
      <c r="G9" s="31"/>
      <c r="H9" s="31">
        <v>44083.58</v>
      </c>
    </row>
    <row r="10" spans="1:8" x14ac:dyDescent="0.3">
      <c r="A10" t="s">
        <v>129</v>
      </c>
      <c r="B10" s="31"/>
      <c r="C10" s="31"/>
      <c r="D10" s="31"/>
      <c r="E10" s="31"/>
      <c r="F10" s="31"/>
      <c r="G10" s="31"/>
      <c r="H10" s="31"/>
    </row>
    <row r="11" spans="1:8" x14ac:dyDescent="0.3">
      <c r="A11" t="s">
        <v>130</v>
      </c>
      <c r="B11" s="31">
        <v>47002.460000000006</v>
      </c>
      <c r="C11" s="31">
        <v>41927.589999999997</v>
      </c>
      <c r="D11" s="31">
        <v>41044</v>
      </c>
      <c r="E11" s="31">
        <v>36612.89</v>
      </c>
      <c r="F11" s="31">
        <v>28630.82</v>
      </c>
      <c r="G11" s="31"/>
      <c r="H11" s="31">
        <v>195217.76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2E421-7255-4122-A37A-F5A847177F1F}">
  <dimension ref="A3:B10"/>
  <sheetViews>
    <sheetView workbookViewId="0">
      <selection activeCell="D3" sqref="D3"/>
    </sheetView>
  </sheetViews>
  <sheetFormatPr defaultRowHeight="14.4" x14ac:dyDescent="0.3"/>
  <cols>
    <col min="1" max="1" width="18.5546875" bestFit="1" customWidth="1"/>
    <col min="2" max="2" width="11.6640625" bestFit="1" customWidth="1"/>
    <col min="3" max="24" width="7" bestFit="1" customWidth="1"/>
    <col min="25" max="25" width="6" bestFit="1" customWidth="1"/>
    <col min="26" max="44" width="7" bestFit="1" customWidth="1"/>
    <col min="45" max="45" width="6" bestFit="1" customWidth="1"/>
    <col min="46" max="60" width="7" bestFit="1" customWidth="1"/>
    <col min="61" max="61" width="6" bestFit="1" customWidth="1"/>
    <col min="62" max="70" width="7" bestFit="1" customWidth="1"/>
    <col min="71" max="71" width="4" bestFit="1" customWidth="1"/>
    <col min="72" max="73" width="7" bestFit="1" customWidth="1"/>
    <col min="74" max="74" width="6" bestFit="1" customWidth="1"/>
    <col min="75" max="77" width="7" bestFit="1" customWidth="1"/>
    <col min="78" max="78" width="6" bestFit="1" customWidth="1"/>
    <col min="79" max="93" width="7" bestFit="1" customWidth="1"/>
    <col min="94" max="95" width="6" bestFit="1" customWidth="1"/>
    <col min="96" max="98" width="7" bestFit="1" customWidth="1"/>
    <col min="99" max="99" width="6" bestFit="1" customWidth="1"/>
    <col min="100" max="102" width="7" bestFit="1" customWidth="1"/>
    <col min="103" max="103" width="6" bestFit="1" customWidth="1"/>
    <col min="104" max="107" width="7" bestFit="1" customWidth="1"/>
    <col min="108" max="119" width="8" bestFit="1" customWidth="1"/>
    <col min="120" max="121" width="7" bestFit="1" customWidth="1"/>
    <col min="122" max="134" width="8" bestFit="1" customWidth="1"/>
    <col min="135" max="135" width="7" bestFit="1" customWidth="1"/>
    <col min="136" max="157" width="8" bestFit="1" customWidth="1"/>
    <col min="158" max="158" width="7" bestFit="1" customWidth="1"/>
    <col min="159" max="166" width="8" bestFit="1" customWidth="1"/>
    <col min="167" max="167" width="7" bestFit="1" customWidth="1"/>
    <col min="168" max="182" width="8" bestFit="1" customWidth="1"/>
    <col min="183" max="183" width="7" bestFit="1" customWidth="1"/>
    <col min="184" max="194" width="8" bestFit="1" customWidth="1"/>
    <col min="195" max="195" width="7" bestFit="1" customWidth="1"/>
    <col min="196" max="201" width="8" bestFit="1" customWidth="1"/>
    <col min="202" max="202" width="7" bestFit="1" customWidth="1"/>
    <col min="203" max="203" width="10.77734375" bestFit="1" customWidth="1"/>
  </cols>
  <sheetData>
    <row r="3" spans="1:2" x14ac:dyDescent="0.3">
      <c r="A3" s="30" t="s">
        <v>5</v>
      </c>
      <c r="B3" t="s">
        <v>131</v>
      </c>
    </row>
    <row r="4" spans="1:2" x14ac:dyDescent="0.3">
      <c r="A4" t="s">
        <v>14</v>
      </c>
      <c r="B4" s="31">
        <v>47002.460000000006</v>
      </c>
    </row>
    <row r="5" spans="1:2" x14ac:dyDescent="0.3">
      <c r="A5" t="s">
        <v>17</v>
      </c>
      <c r="B5" s="31">
        <v>41927.589999999989</v>
      </c>
    </row>
    <row r="6" spans="1:2" x14ac:dyDescent="0.3">
      <c r="A6" t="s">
        <v>23</v>
      </c>
      <c r="B6" s="31">
        <v>41044.000000000007</v>
      </c>
    </row>
    <row r="7" spans="1:2" x14ac:dyDescent="0.3">
      <c r="A7" t="s">
        <v>29</v>
      </c>
      <c r="B7" s="31">
        <v>36612.89</v>
      </c>
    </row>
    <row r="8" spans="1:2" x14ac:dyDescent="0.3">
      <c r="A8" t="s">
        <v>41</v>
      </c>
      <c r="B8" s="31">
        <v>28630.819999999992</v>
      </c>
    </row>
    <row r="9" spans="1:2" x14ac:dyDescent="0.3">
      <c r="A9" t="s">
        <v>129</v>
      </c>
      <c r="B9" s="31"/>
    </row>
    <row r="10" spans="1:2" x14ac:dyDescent="0.3">
      <c r="A10" t="s">
        <v>130</v>
      </c>
      <c r="B10" s="31">
        <v>195217.76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4174F-9FAE-4D2D-BA2F-5649C0CA7554}">
  <dimension ref="A3:B10"/>
  <sheetViews>
    <sheetView workbookViewId="0">
      <selection activeCell="T5" sqref="T5"/>
    </sheetView>
  </sheetViews>
  <sheetFormatPr defaultRowHeight="14.4" x14ac:dyDescent="0.3"/>
  <cols>
    <col min="1" max="1" width="18.5546875" bestFit="1" customWidth="1"/>
    <col min="2" max="2" width="13.33203125" bestFit="1" customWidth="1"/>
    <col min="3" max="10" width="2" bestFit="1" customWidth="1"/>
    <col min="11" max="13" width="3" bestFit="1" customWidth="1"/>
    <col min="14" max="14" width="7" bestFit="1" customWidth="1"/>
    <col min="15" max="15" width="10.77734375" bestFit="1" customWidth="1"/>
  </cols>
  <sheetData>
    <row r="3" spans="1:2" x14ac:dyDescent="0.3">
      <c r="A3" s="30" t="s">
        <v>5</v>
      </c>
      <c r="B3" t="s">
        <v>134</v>
      </c>
    </row>
    <row r="4" spans="1:2" x14ac:dyDescent="0.3">
      <c r="A4" t="s">
        <v>14</v>
      </c>
      <c r="B4" s="31">
        <v>293</v>
      </c>
    </row>
    <row r="5" spans="1:2" x14ac:dyDescent="0.3">
      <c r="A5" t="s">
        <v>17</v>
      </c>
      <c r="B5" s="31">
        <v>212</v>
      </c>
    </row>
    <row r="6" spans="1:2" x14ac:dyDescent="0.3">
      <c r="A6" t="s">
        <v>23</v>
      </c>
      <c r="B6" s="31">
        <v>317</v>
      </c>
    </row>
    <row r="7" spans="1:2" x14ac:dyDescent="0.3">
      <c r="A7" t="s">
        <v>29</v>
      </c>
      <c r="B7" s="31">
        <v>252</v>
      </c>
    </row>
    <row r="8" spans="1:2" x14ac:dyDescent="0.3">
      <c r="A8" t="s">
        <v>41</v>
      </c>
      <c r="B8" s="31">
        <v>180</v>
      </c>
    </row>
    <row r="9" spans="1:2" x14ac:dyDescent="0.3">
      <c r="A9" t="s">
        <v>129</v>
      </c>
      <c r="B9" s="31"/>
    </row>
    <row r="10" spans="1:2" x14ac:dyDescent="0.3">
      <c r="A10" t="s">
        <v>130</v>
      </c>
      <c r="B10" s="31">
        <v>1254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5DB1F-421D-469B-B59F-3D4DAC591D83}">
  <dimension ref="A3:B10"/>
  <sheetViews>
    <sheetView workbookViewId="0">
      <selection activeCell="C3" sqref="C3"/>
    </sheetView>
  </sheetViews>
  <sheetFormatPr defaultRowHeight="14.4" x14ac:dyDescent="0.3"/>
  <cols>
    <col min="1" max="1" width="10.77734375" bestFit="1" customWidth="1"/>
    <col min="2" max="2" width="11.6640625" bestFit="1" customWidth="1"/>
  </cols>
  <sheetData>
    <row r="3" spans="1:2" x14ac:dyDescent="0.3">
      <c r="A3" s="30" t="s">
        <v>4</v>
      </c>
      <c r="B3" t="s">
        <v>131</v>
      </c>
    </row>
    <row r="4" spans="1:2" x14ac:dyDescent="0.3">
      <c r="A4" t="s">
        <v>36</v>
      </c>
      <c r="B4" s="31">
        <v>43468.33</v>
      </c>
    </row>
    <row r="5" spans="1:2" x14ac:dyDescent="0.3">
      <c r="A5" t="s">
        <v>20</v>
      </c>
      <c r="B5" s="31">
        <v>32441.64</v>
      </c>
    </row>
    <row r="6" spans="1:2" x14ac:dyDescent="0.3">
      <c r="A6" t="s">
        <v>26</v>
      </c>
      <c r="B6" s="31">
        <v>34975.42</v>
      </c>
    </row>
    <row r="7" spans="1:2" x14ac:dyDescent="0.3">
      <c r="A7" t="s">
        <v>22</v>
      </c>
      <c r="B7" s="31">
        <v>40248.79</v>
      </c>
    </row>
    <row r="8" spans="1:2" x14ac:dyDescent="0.3">
      <c r="A8" t="s">
        <v>13</v>
      </c>
      <c r="B8" s="31">
        <v>44083.58</v>
      </c>
    </row>
    <row r="9" spans="1:2" x14ac:dyDescent="0.3">
      <c r="A9" t="s">
        <v>129</v>
      </c>
      <c r="B9" s="31"/>
    </row>
    <row r="10" spans="1:2" x14ac:dyDescent="0.3">
      <c r="A10" t="s">
        <v>130</v>
      </c>
      <c r="B10" s="31">
        <v>195217.76</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Project Instructions</vt:lpstr>
      <vt:lpstr>Dataset</vt:lpstr>
      <vt:lpstr>Dashboard</vt:lpstr>
      <vt:lpstr>pivote table</vt:lpstr>
      <vt:lpstr>product vs sales</vt:lpstr>
      <vt:lpstr>Monthly</vt:lpstr>
      <vt:lpstr>region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Prachi Patel</cp:lastModifiedBy>
  <dcterms:modified xsi:type="dcterms:W3CDTF">2026-01-20T06:04:03Z</dcterms:modified>
</cp:coreProperties>
</file>